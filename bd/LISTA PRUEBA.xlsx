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Documentos\Mi Escritorio\"/>
    </mc:Choice>
  </mc:AlternateContent>
  <xr:revisionPtr revIDLastSave="0" documentId="13_ncr:1_{C7A3C22D-1A04-4DDF-AFA4-FD6FCD2A2D95}" xr6:coauthVersionLast="36" xr6:coauthVersionMax="36" xr10:uidLastSave="{00000000-0000-0000-0000-000000000000}"/>
  <bookViews>
    <workbookView xWindow="0" yWindow="0" windowWidth="20490" windowHeight="7425" xr2:uid="{4BDDFA88-EED6-4304-97C1-37EE7DEFE02B}"/>
  </bookViews>
  <sheets>
    <sheet name="1MAYO26" sheetId="1" r:id="rId1"/>
  </sheets>
  <definedNames>
    <definedName name="_xlnm._FilterDatabase" localSheetId="0" hidden="1">'1MAYO26'!$A$1:$U$1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4" i="1" l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5" i="1"/>
  <c r="K104" i="1"/>
  <c r="K103" i="1"/>
  <c r="K102" i="1"/>
  <c r="K101" i="1"/>
  <c r="K100" i="1"/>
  <c r="K99" i="1"/>
  <c r="K98" i="1"/>
  <c r="K91" i="1"/>
  <c r="K90" i="1"/>
  <c r="K89" i="1"/>
  <c r="K88" i="1"/>
  <c r="K87" i="1"/>
  <c r="K86" i="1"/>
  <c r="K85" i="1"/>
  <c r="K83" i="1"/>
  <c r="K82" i="1"/>
  <c r="K81" i="1"/>
  <c r="K76" i="1"/>
  <c r="K75" i="1"/>
  <c r="K73" i="1"/>
  <c r="K72" i="1"/>
  <c r="K71" i="1"/>
  <c r="K70" i="1"/>
  <c r="K69" i="1"/>
  <c r="K68" i="1"/>
  <c r="K67" i="1"/>
  <c r="K66" i="1"/>
  <c r="K63" i="1"/>
  <c r="K59" i="1"/>
  <c r="K58" i="1"/>
  <c r="K57" i="1"/>
  <c r="K56" i="1"/>
  <c r="K55" i="1"/>
  <c r="K54" i="1"/>
  <c r="K53" i="1"/>
  <c r="K52" i="1"/>
  <c r="K51" i="1"/>
  <c r="K48" i="1"/>
  <c r="K45" i="1"/>
  <c r="K44" i="1"/>
  <c r="K43" i="1"/>
  <c r="K42" i="1"/>
  <c r="K41" i="1"/>
  <c r="K40" i="1"/>
  <c r="K39" i="1"/>
  <c r="K38" i="1"/>
  <c r="K37" i="1"/>
  <c r="K35" i="1"/>
  <c r="K34" i="1"/>
  <c r="K33" i="1"/>
  <c r="K32" i="1"/>
  <c r="K31" i="1"/>
  <c r="K30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9" i="1"/>
  <c r="K8" i="1"/>
  <c r="K3" i="1"/>
  <c r="K2" i="1"/>
  <c r="I334" i="1"/>
  <c r="I333" i="1"/>
  <c r="I332" i="1"/>
  <c r="I331" i="1"/>
  <c r="J331" i="1" s="1"/>
  <c r="I330" i="1"/>
  <c r="I329" i="1"/>
  <c r="I328" i="1"/>
  <c r="I327" i="1"/>
  <c r="I326" i="1"/>
  <c r="I325" i="1"/>
  <c r="I324" i="1"/>
  <c r="I323" i="1"/>
  <c r="J323" i="1" s="1"/>
  <c r="I322" i="1"/>
  <c r="I321" i="1"/>
  <c r="I320" i="1"/>
  <c r="I319" i="1"/>
  <c r="I318" i="1"/>
  <c r="I317" i="1"/>
  <c r="I316" i="1"/>
  <c r="I315" i="1"/>
  <c r="I314" i="1"/>
  <c r="I313" i="1"/>
  <c r="I312" i="1"/>
  <c r="I311" i="1"/>
  <c r="J311" i="1" s="1"/>
  <c r="I310" i="1"/>
  <c r="I309" i="1"/>
  <c r="I308" i="1"/>
  <c r="I307" i="1"/>
  <c r="J307" i="1" s="1"/>
  <c r="I306" i="1"/>
  <c r="I305" i="1"/>
  <c r="I304" i="1"/>
  <c r="I303" i="1"/>
  <c r="I302" i="1"/>
  <c r="I301" i="1"/>
  <c r="I300" i="1"/>
  <c r="I299" i="1"/>
  <c r="J299" i="1" s="1"/>
  <c r="I298" i="1"/>
  <c r="I297" i="1"/>
  <c r="I296" i="1"/>
  <c r="I295" i="1"/>
  <c r="I294" i="1"/>
  <c r="I293" i="1"/>
  <c r="I292" i="1"/>
  <c r="I291" i="1"/>
  <c r="J291" i="1" s="1"/>
  <c r="I290" i="1"/>
  <c r="I289" i="1"/>
  <c r="I288" i="1"/>
  <c r="I287" i="1"/>
  <c r="J287" i="1" s="1"/>
  <c r="I286" i="1"/>
  <c r="I285" i="1"/>
  <c r="I284" i="1"/>
  <c r="I283" i="1"/>
  <c r="J283" i="1" s="1"/>
  <c r="I282" i="1"/>
  <c r="I281" i="1"/>
  <c r="I280" i="1"/>
  <c r="I279" i="1"/>
  <c r="I278" i="1"/>
  <c r="I277" i="1"/>
  <c r="I276" i="1"/>
  <c r="I275" i="1"/>
  <c r="J275" i="1" s="1"/>
  <c r="I274" i="1"/>
  <c r="I273" i="1"/>
  <c r="I272" i="1"/>
  <c r="I271" i="1"/>
  <c r="J271" i="1" s="1"/>
  <c r="I270" i="1"/>
  <c r="I269" i="1"/>
  <c r="I268" i="1"/>
  <c r="I267" i="1"/>
  <c r="J267" i="1" s="1"/>
  <c r="I266" i="1"/>
  <c r="I265" i="1"/>
  <c r="I264" i="1"/>
  <c r="I263" i="1"/>
  <c r="I262" i="1"/>
  <c r="I261" i="1"/>
  <c r="I260" i="1"/>
  <c r="I259" i="1"/>
  <c r="J259" i="1" s="1"/>
  <c r="I258" i="1"/>
  <c r="I257" i="1"/>
  <c r="I256" i="1"/>
  <c r="I255" i="1"/>
  <c r="J255" i="1" s="1"/>
  <c r="I254" i="1"/>
  <c r="I253" i="1"/>
  <c r="I252" i="1"/>
  <c r="I251" i="1"/>
  <c r="J251" i="1" s="1"/>
  <c r="I250" i="1"/>
  <c r="I249" i="1"/>
  <c r="I248" i="1"/>
  <c r="I247" i="1"/>
  <c r="J247" i="1" s="1"/>
  <c r="I246" i="1"/>
  <c r="I245" i="1"/>
  <c r="I244" i="1"/>
  <c r="I243" i="1"/>
  <c r="I242" i="1"/>
  <c r="I241" i="1"/>
  <c r="I240" i="1"/>
  <c r="I239" i="1"/>
  <c r="I238" i="1"/>
  <c r="I237" i="1"/>
  <c r="I236" i="1"/>
  <c r="I235" i="1"/>
  <c r="J235" i="1" s="1"/>
  <c r="I234" i="1"/>
  <c r="I233" i="1"/>
  <c r="I232" i="1"/>
  <c r="I231" i="1"/>
  <c r="J231" i="1" s="1"/>
  <c r="I230" i="1"/>
  <c r="I229" i="1"/>
  <c r="I228" i="1"/>
  <c r="I227" i="1"/>
  <c r="J227" i="1" s="1"/>
  <c r="I226" i="1"/>
  <c r="I225" i="1"/>
  <c r="I224" i="1"/>
  <c r="I223" i="1"/>
  <c r="J223" i="1" s="1"/>
  <c r="I222" i="1"/>
  <c r="I221" i="1"/>
  <c r="I220" i="1"/>
  <c r="I219" i="1"/>
  <c r="I218" i="1"/>
  <c r="I217" i="1"/>
  <c r="I216" i="1"/>
  <c r="I215" i="1"/>
  <c r="J215" i="1" s="1"/>
  <c r="I214" i="1"/>
  <c r="I213" i="1"/>
  <c r="I212" i="1"/>
  <c r="I211" i="1"/>
  <c r="J211" i="1" s="1"/>
  <c r="I210" i="1"/>
  <c r="I209" i="1"/>
  <c r="I208" i="1"/>
  <c r="I207" i="1"/>
  <c r="J207" i="1" s="1"/>
  <c r="I206" i="1"/>
  <c r="I205" i="1"/>
  <c r="I204" i="1"/>
  <c r="I203" i="1"/>
  <c r="J203" i="1" s="1"/>
  <c r="I202" i="1"/>
  <c r="I201" i="1"/>
  <c r="I200" i="1"/>
  <c r="I199" i="1"/>
  <c r="I198" i="1"/>
  <c r="I197" i="1"/>
  <c r="I196" i="1"/>
  <c r="I195" i="1"/>
  <c r="I194" i="1"/>
  <c r="I193" i="1"/>
  <c r="I192" i="1"/>
  <c r="I191" i="1"/>
  <c r="J191" i="1" s="1"/>
  <c r="I190" i="1"/>
  <c r="I189" i="1"/>
  <c r="I188" i="1"/>
  <c r="I187" i="1"/>
  <c r="J187" i="1" s="1"/>
  <c r="I186" i="1"/>
  <c r="I185" i="1"/>
  <c r="I184" i="1"/>
  <c r="I183" i="1"/>
  <c r="J183" i="1" s="1"/>
  <c r="I182" i="1"/>
  <c r="I181" i="1"/>
  <c r="I180" i="1"/>
  <c r="I179" i="1"/>
  <c r="I178" i="1"/>
  <c r="I177" i="1"/>
  <c r="I176" i="1"/>
  <c r="I175" i="1"/>
  <c r="I174" i="1"/>
  <c r="I173" i="1"/>
  <c r="I172" i="1"/>
  <c r="I171" i="1"/>
  <c r="J171" i="1" s="1"/>
  <c r="I170" i="1"/>
  <c r="I169" i="1"/>
  <c r="I168" i="1"/>
  <c r="I167" i="1"/>
  <c r="J167" i="1" s="1"/>
  <c r="I166" i="1"/>
  <c r="I165" i="1"/>
  <c r="I164" i="1"/>
  <c r="I163" i="1"/>
  <c r="J163" i="1" s="1"/>
  <c r="I162" i="1"/>
  <c r="I161" i="1"/>
  <c r="I160" i="1"/>
  <c r="I159" i="1"/>
  <c r="I158" i="1"/>
  <c r="I157" i="1"/>
  <c r="I156" i="1"/>
  <c r="I155" i="1"/>
  <c r="I154" i="1"/>
  <c r="I153" i="1"/>
  <c r="I152" i="1"/>
  <c r="I151" i="1"/>
  <c r="J151" i="1" s="1"/>
  <c r="I150" i="1"/>
  <c r="I149" i="1"/>
  <c r="I148" i="1"/>
  <c r="I147" i="1"/>
  <c r="J147" i="1" s="1"/>
  <c r="I146" i="1"/>
  <c r="I145" i="1"/>
  <c r="I144" i="1"/>
  <c r="I143" i="1"/>
  <c r="J143" i="1" s="1"/>
  <c r="I142" i="1"/>
  <c r="I141" i="1"/>
  <c r="I140" i="1"/>
  <c r="I139" i="1"/>
  <c r="J139" i="1" s="1"/>
  <c r="I138" i="1"/>
  <c r="I137" i="1"/>
  <c r="I136" i="1"/>
  <c r="I135" i="1"/>
  <c r="I134" i="1"/>
  <c r="I133" i="1"/>
  <c r="I132" i="1"/>
  <c r="I131" i="1"/>
  <c r="J131" i="1" s="1"/>
  <c r="I130" i="1"/>
  <c r="I129" i="1"/>
  <c r="I128" i="1"/>
  <c r="I127" i="1"/>
  <c r="J127" i="1" s="1"/>
  <c r="I126" i="1"/>
  <c r="I125" i="1"/>
  <c r="I124" i="1"/>
  <c r="I123" i="1"/>
  <c r="I122" i="1"/>
  <c r="I121" i="1"/>
  <c r="I120" i="1"/>
  <c r="I119" i="1"/>
  <c r="I118" i="1"/>
  <c r="I117" i="1"/>
  <c r="I116" i="1"/>
  <c r="I115" i="1"/>
  <c r="J115" i="1" s="1"/>
  <c r="I114" i="1"/>
  <c r="I113" i="1"/>
  <c r="I112" i="1"/>
  <c r="I111" i="1"/>
  <c r="J111" i="1" s="1"/>
  <c r="I110" i="1"/>
  <c r="I109" i="1"/>
  <c r="I108" i="1"/>
  <c r="I107" i="1"/>
  <c r="I106" i="1"/>
  <c r="I105" i="1"/>
  <c r="I104" i="1"/>
  <c r="I103" i="1"/>
  <c r="J103" i="1" s="1"/>
  <c r="I102" i="1"/>
  <c r="I101" i="1"/>
  <c r="I100" i="1"/>
  <c r="I99" i="1"/>
  <c r="I98" i="1"/>
  <c r="I97" i="1"/>
  <c r="I96" i="1"/>
  <c r="I95" i="1"/>
  <c r="J95" i="1" s="1"/>
  <c r="I94" i="1"/>
  <c r="I93" i="1"/>
  <c r="I92" i="1"/>
  <c r="I91" i="1"/>
  <c r="J91" i="1" s="1"/>
  <c r="I90" i="1"/>
  <c r="I89" i="1"/>
  <c r="I88" i="1"/>
  <c r="I87" i="1"/>
  <c r="I86" i="1"/>
  <c r="I85" i="1"/>
  <c r="I84" i="1"/>
  <c r="I83" i="1"/>
  <c r="J83" i="1" s="1"/>
  <c r="I82" i="1"/>
  <c r="I81" i="1"/>
  <c r="I80" i="1"/>
  <c r="I79" i="1"/>
  <c r="I78" i="1"/>
  <c r="I77" i="1"/>
  <c r="I76" i="1"/>
  <c r="I75" i="1"/>
  <c r="J75" i="1" s="1"/>
  <c r="I74" i="1"/>
  <c r="I73" i="1"/>
  <c r="I72" i="1"/>
  <c r="I71" i="1"/>
  <c r="J71" i="1" s="1"/>
  <c r="I70" i="1"/>
  <c r="I69" i="1"/>
  <c r="I68" i="1"/>
  <c r="I67" i="1"/>
  <c r="J67" i="1" s="1"/>
  <c r="I66" i="1"/>
  <c r="I65" i="1"/>
  <c r="I64" i="1"/>
  <c r="I63" i="1"/>
  <c r="J63" i="1" s="1"/>
  <c r="I62" i="1"/>
  <c r="I61" i="1"/>
  <c r="I60" i="1"/>
  <c r="I59" i="1"/>
  <c r="I58" i="1"/>
  <c r="I57" i="1"/>
  <c r="I56" i="1"/>
  <c r="I55" i="1"/>
  <c r="J55" i="1" s="1"/>
  <c r="I54" i="1"/>
  <c r="I53" i="1"/>
  <c r="I52" i="1"/>
  <c r="I51" i="1"/>
  <c r="I50" i="1"/>
  <c r="I49" i="1"/>
  <c r="I48" i="1"/>
  <c r="I47" i="1"/>
  <c r="J47" i="1" s="1"/>
  <c r="I46" i="1"/>
  <c r="I45" i="1"/>
  <c r="I44" i="1"/>
  <c r="I43" i="1"/>
  <c r="J43" i="1" s="1"/>
  <c r="I42" i="1"/>
  <c r="I41" i="1"/>
  <c r="I40" i="1"/>
  <c r="I39" i="1"/>
  <c r="I38" i="1"/>
  <c r="I37" i="1"/>
  <c r="I36" i="1"/>
  <c r="I35" i="1"/>
  <c r="J35" i="1" s="1"/>
  <c r="I34" i="1"/>
  <c r="I33" i="1"/>
  <c r="I32" i="1"/>
  <c r="I31" i="1"/>
  <c r="J31" i="1" s="1"/>
  <c r="I30" i="1"/>
  <c r="I29" i="1"/>
  <c r="I28" i="1"/>
  <c r="I27" i="1"/>
  <c r="J27" i="1" s="1"/>
  <c r="I26" i="1"/>
  <c r="I25" i="1"/>
  <c r="I24" i="1"/>
  <c r="I23" i="1"/>
  <c r="J23" i="1" s="1"/>
  <c r="I22" i="1"/>
  <c r="I21" i="1"/>
  <c r="I20" i="1"/>
  <c r="I19" i="1"/>
  <c r="J19" i="1" s="1"/>
  <c r="I18" i="1"/>
  <c r="I17" i="1"/>
  <c r="I16" i="1"/>
  <c r="I15" i="1"/>
  <c r="I14" i="1"/>
  <c r="I13" i="1"/>
  <c r="I12" i="1"/>
  <c r="I11" i="1"/>
  <c r="I10" i="1"/>
  <c r="I9" i="1"/>
  <c r="I8" i="1"/>
  <c r="I7" i="1"/>
  <c r="J7" i="1" s="1"/>
  <c r="I6" i="1"/>
  <c r="I5" i="1"/>
  <c r="I4" i="1"/>
  <c r="I3" i="1"/>
  <c r="J3" i="1" s="1"/>
  <c r="I2" i="1"/>
  <c r="J319" i="1"/>
  <c r="J295" i="1"/>
  <c r="J279" i="1"/>
  <c r="J263" i="1"/>
  <c r="J239" i="1"/>
  <c r="J219" i="1"/>
  <c r="J195" i="1"/>
  <c r="J175" i="1"/>
  <c r="J159" i="1"/>
  <c r="J135" i="1"/>
  <c r="J107" i="1"/>
  <c r="J87" i="1"/>
  <c r="J59" i="1"/>
  <c r="J39" i="1"/>
  <c r="J11" i="1"/>
  <c r="J332" i="1"/>
  <c r="J327" i="1"/>
  <c r="J324" i="1"/>
  <c r="J316" i="1"/>
  <c r="J308" i="1"/>
  <c r="J303" i="1"/>
  <c r="J300" i="1"/>
  <c r="J292" i="1"/>
  <c r="J284" i="1"/>
  <c r="J280" i="1"/>
  <c r="L280" i="1" s="1"/>
  <c r="J276" i="1"/>
  <c r="J272" i="1"/>
  <c r="J268" i="1"/>
  <c r="J264" i="1"/>
  <c r="J248" i="1"/>
  <c r="J244" i="1"/>
  <c r="J243" i="1"/>
  <c r="J240" i="1"/>
  <c r="J224" i="1"/>
  <c r="J220" i="1"/>
  <c r="J216" i="1"/>
  <c r="J208" i="1"/>
  <c r="L208" i="1" s="1"/>
  <c r="J199" i="1"/>
  <c r="J196" i="1"/>
  <c r="J188" i="1"/>
  <c r="J184" i="1"/>
  <c r="J179" i="1"/>
  <c r="J176" i="1"/>
  <c r="L176" i="1" s="1"/>
  <c r="J164" i="1"/>
  <c r="J156" i="1"/>
  <c r="J155" i="1"/>
  <c r="J152" i="1"/>
  <c r="J140" i="1"/>
  <c r="J136" i="1"/>
  <c r="J128" i="1"/>
  <c r="J124" i="1"/>
  <c r="L124" i="1" s="1"/>
  <c r="J123" i="1"/>
  <c r="J120" i="1"/>
  <c r="J116" i="1"/>
  <c r="J112" i="1"/>
  <c r="J99" i="1"/>
  <c r="J84" i="1"/>
  <c r="J80" i="1"/>
  <c r="J68" i="1"/>
  <c r="J64" i="1"/>
  <c r="J52" i="1"/>
  <c r="J51" i="1"/>
  <c r="J48" i="1"/>
  <c r="J32" i="1"/>
  <c r="J28" i="1"/>
  <c r="J16" i="1"/>
  <c r="J12" i="1"/>
  <c r="L276" i="1"/>
  <c r="L244" i="1"/>
  <c r="L120" i="1"/>
  <c r="L116" i="1"/>
  <c r="L64" i="1"/>
  <c r="T334" i="1"/>
  <c r="J334" i="1"/>
  <c r="L334" i="1" s="1"/>
  <c r="T333" i="1"/>
  <c r="J333" i="1"/>
  <c r="L333" i="1" s="1"/>
  <c r="T332" i="1"/>
  <c r="T331" i="1"/>
  <c r="T330" i="1"/>
  <c r="J330" i="1"/>
  <c r="L330" i="1" s="1"/>
  <c r="T329" i="1"/>
  <c r="J329" i="1"/>
  <c r="L329" i="1" s="1"/>
  <c r="T328" i="1"/>
  <c r="J328" i="1"/>
  <c r="L328" i="1" s="1"/>
  <c r="T327" i="1"/>
  <c r="T326" i="1"/>
  <c r="L326" i="1"/>
  <c r="J326" i="1"/>
  <c r="T325" i="1"/>
  <c r="J325" i="1"/>
  <c r="L325" i="1" s="1"/>
  <c r="T324" i="1"/>
  <c r="T323" i="1"/>
  <c r="T322" i="1"/>
  <c r="J322" i="1"/>
  <c r="L322" i="1" s="1"/>
  <c r="T321" i="1"/>
  <c r="J321" i="1"/>
  <c r="L321" i="1" s="1"/>
  <c r="T320" i="1"/>
  <c r="J320" i="1"/>
  <c r="L320" i="1" s="1"/>
  <c r="T319" i="1"/>
  <c r="T318" i="1"/>
  <c r="J318" i="1"/>
  <c r="L318" i="1" s="1"/>
  <c r="T317" i="1"/>
  <c r="J317" i="1"/>
  <c r="L317" i="1" s="1"/>
  <c r="T316" i="1"/>
  <c r="T315" i="1"/>
  <c r="J315" i="1"/>
  <c r="T314" i="1"/>
  <c r="J314" i="1"/>
  <c r="L314" i="1" s="1"/>
  <c r="T313" i="1"/>
  <c r="J313" i="1"/>
  <c r="L313" i="1" s="1"/>
  <c r="T312" i="1"/>
  <c r="J312" i="1"/>
  <c r="L312" i="1" s="1"/>
  <c r="T311" i="1"/>
  <c r="T310" i="1"/>
  <c r="J310" i="1"/>
  <c r="L310" i="1" s="1"/>
  <c r="T309" i="1"/>
  <c r="J309" i="1"/>
  <c r="L309" i="1" s="1"/>
  <c r="T308" i="1"/>
  <c r="T307" i="1"/>
  <c r="T306" i="1"/>
  <c r="J306" i="1"/>
  <c r="L306" i="1" s="1"/>
  <c r="T305" i="1"/>
  <c r="J305" i="1"/>
  <c r="L305" i="1" s="1"/>
  <c r="T304" i="1"/>
  <c r="J304" i="1"/>
  <c r="L304" i="1" s="1"/>
  <c r="T303" i="1"/>
  <c r="T302" i="1"/>
  <c r="J302" i="1"/>
  <c r="L302" i="1" s="1"/>
  <c r="T301" i="1"/>
  <c r="J301" i="1"/>
  <c r="L301" i="1" s="1"/>
  <c r="T300" i="1"/>
  <c r="T299" i="1"/>
  <c r="T298" i="1"/>
  <c r="J298" i="1"/>
  <c r="L298" i="1" s="1"/>
  <c r="T297" i="1"/>
  <c r="J297" i="1"/>
  <c r="L297" i="1" s="1"/>
  <c r="T296" i="1"/>
  <c r="J296" i="1"/>
  <c r="L296" i="1" s="1"/>
  <c r="T295" i="1"/>
  <c r="T294" i="1"/>
  <c r="J294" i="1"/>
  <c r="L294" i="1" s="1"/>
  <c r="T293" i="1"/>
  <c r="J293" i="1"/>
  <c r="L293" i="1" s="1"/>
  <c r="T292" i="1"/>
  <c r="T291" i="1"/>
  <c r="T290" i="1"/>
  <c r="J290" i="1"/>
  <c r="L290" i="1" s="1"/>
  <c r="T289" i="1"/>
  <c r="J289" i="1"/>
  <c r="L289" i="1" s="1"/>
  <c r="T288" i="1"/>
  <c r="J288" i="1"/>
  <c r="L288" i="1" s="1"/>
  <c r="T287" i="1"/>
  <c r="T286" i="1"/>
  <c r="J286" i="1"/>
  <c r="L286" i="1" s="1"/>
  <c r="T285" i="1"/>
  <c r="J285" i="1"/>
  <c r="L285" i="1" s="1"/>
  <c r="T284" i="1"/>
  <c r="T283" i="1"/>
  <c r="T282" i="1"/>
  <c r="J282" i="1"/>
  <c r="L282" i="1" s="1"/>
  <c r="T281" i="1"/>
  <c r="J281" i="1"/>
  <c r="L281" i="1" s="1"/>
  <c r="T280" i="1"/>
  <c r="T279" i="1"/>
  <c r="T278" i="1"/>
  <c r="J278" i="1"/>
  <c r="L278" i="1" s="1"/>
  <c r="T277" i="1"/>
  <c r="J277" i="1"/>
  <c r="L277" i="1" s="1"/>
  <c r="T276" i="1"/>
  <c r="T275" i="1"/>
  <c r="T274" i="1"/>
  <c r="J274" i="1"/>
  <c r="L274" i="1" s="1"/>
  <c r="T273" i="1"/>
  <c r="J273" i="1"/>
  <c r="T272" i="1"/>
  <c r="T271" i="1"/>
  <c r="T270" i="1"/>
  <c r="J270" i="1"/>
  <c r="L270" i="1" s="1"/>
  <c r="T269" i="1"/>
  <c r="J269" i="1"/>
  <c r="L269" i="1" s="1"/>
  <c r="T268" i="1"/>
  <c r="T267" i="1"/>
  <c r="T266" i="1"/>
  <c r="J266" i="1"/>
  <c r="L266" i="1" s="1"/>
  <c r="T265" i="1"/>
  <c r="J265" i="1"/>
  <c r="L265" i="1" s="1"/>
  <c r="T264" i="1"/>
  <c r="T263" i="1"/>
  <c r="T262" i="1"/>
  <c r="J262" i="1"/>
  <c r="L262" i="1" s="1"/>
  <c r="T261" i="1"/>
  <c r="J261" i="1"/>
  <c r="T260" i="1"/>
  <c r="J260" i="1"/>
  <c r="L260" i="1" s="1"/>
  <c r="T259" i="1"/>
  <c r="T258" i="1"/>
  <c r="J258" i="1"/>
  <c r="L258" i="1" s="1"/>
  <c r="T257" i="1"/>
  <c r="J257" i="1"/>
  <c r="L257" i="1" s="1"/>
  <c r="T256" i="1"/>
  <c r="J256" i="1"/>
  <c r="T255" i="1"/>
  <c r="T254" i="1"/>
  <c r="J254" i="1"/>
  <c r="L254" i="1" s="1"/>
  <c r="T253" i="1"/>
  <c r="J253" i="1"/>
  <c r="T252" i="1"/>
  <c r="J252" i="1"/>
  <c r="L252" i="1" s="1"/>
  <c r="T251" i="1"/>
  <c r="T250" i="1"/>
  <c r="J250" i="1"/>
  <c r="L250" i="1" s="1"/>
  <c r="T249" i="1"/>
  <c r="J249" i="1"/>
  <c r="L249" i="1" s="1"/>
  <c r="T248" i="1"/>
  <c r="T247" i="1"/>
  <c r="T246" i="1"/>
  <c r="J246" i="1"/>
  <c r="L246" i="1" s="1"/>
  <c r="T245" i="1"/>
  <c r="J245" i="1"/>
  <c r="L245" i="1" s="1"/>
  <c r="T244" i="1"/>
  <c r="T243" i="1"/>
  <c r="T242" i="1"/>
  <c r="J242" i="1"/>
  <c r="L242" i="1" s="1"/>
  <c r="T241" i="1"/>
  <c r="J241" i="1"/>
  <c r="L241" i="1" s="1"/>
  <c r="T240" i="1"/>
  <c r="T239" i="1"/>
  <c r="T238" i="1"/>
  <c r="J238" i="1"/>
  <c r="L238" i="1" s="1"/>
  <c r="T237" i="1"/>
  <c r="J237" i="1"/>
  <c r="L237" i="1" s="1"/>
  <c r="T236" i="1"/>
  <c r="J236" i="1"/>
  <c r="T235" i="1"/>
  <c r="T234" i="1"/>
  <c r="J234" i="1"/>
  <c r="L234" i="1" s="1"/>
  <c r="T233" i="1"/>
  <c r="J233" i="1"/>
  <c r="T232" i="1"/>
  <c r="J232" i="1"/>
  <c r="L232" i="1" s="1"/>
  <c r="T231" i="1"/>
  <c r="T230" i="1"/>
  <c r="J230" i="1"/>
  <c r="L230" i="1" s="1"/>
  <c r="T229" i="1"/>
  <c r="J229" i="1"/>
  <c r="L229" i="1" s="1"/>
  <c r="T228" i="1"/>
  <c r="J228" i="1"/>
  <c r="T227" i="1"/>
  <c r="T226" i="1"/>
  <c r="J226" i="1"/>
  <c r="L226" i="1" s="1"/>
  <c r="T225" i="1"/>
  <c r="J225" i="1"/>
  <c r="T224" i="1"/>
  <c r="L224" i="1"/>
  <c r="T223" i="1"/>
  <c r="T222" i="1"/>
  <c r="J222" i="1"/>
  <c r="L222" i="1" s="1"/>
  <c r="T221" i="1"/>
  <c r="J221" i="1"/>
  <c r="L221" i="1" s="1"/>
  <c r="T220" i="1"/>
  <c r="T219" i="1"/>
  <c r="T218" i="1"/>
  <c r="J218" i="1"/>
  <c r="L218" i="1" s="1"/>
  <c r="T217" i="1"/>
  <c r="J217" i="1"/>
  <c r="T216" i="1"/>
  <c r="T215" i="1"/>
  <c r="T214" i="1"/>
  <c r="J214" i="1"/>
  <c r="L214" i="1" s="1"/>
  <c r="T213" i="1"/>
  <c r="J213" i="1"/>
  <c r="L213" i="1" s="1"/>
  <c r="T212" i="1"/>
  <c r="J212" i="1"/>
  <c r="T211" i="1"/>
  <c r="T210" i="1"/>
  <c r="J210" i="1"/>
  <c r="L210" i="1" s="1"/>
  <c r="T209" i="1"/>
  <c r="J209" i="1"/>
  <c r="T208" i="1"/>
  <c r="T207" i="1"/>
  <c r="T206" i="1"/>
  <c r="J206" i="1"/>
  <c r="L206" i="1" s="1"/>
  <c r="T205" i="1"/>
  <c r="J205" i="1"/>
  <c r="L205" i="1" s="1"/>
  <c r="T204" i="1"/>
  <c r="J204" i="1"/>
  <c r="T203" i="1"/>
  <c r="T202" i="1"/>
  <c r="J202" i="1"/>
  <c r="L202" i="1" s="1"/>
  <c r="T201" i="1"/>
  <c r="J201" i="1"/>
  <c r="T200" i="1"/>
  <c r="J200" i="1"/>
  <c r="L200" i="1" s="1"/>
  <c r="T199" i="1"/>
  <c r="T198" i="1"/>
  <c r="J198" i="1"/>
  <c r="L198" i="1" s="1"/>
  <c r="T197" i="1"/>
  <c r="J197" i="1"/>
  <c r="L197" i="1" s="1"/>
  <c r="T196" i="1"/>
  <c r="T195" i="1"/>
  <c r="T194" i="1"/>
  <c r="J194" i="1"/>
  <c r="L194" i="1" s="1"/>
  <c r="T193" i="1"/>
  <c r="J193" i="1"/>
  <c r="T192" i="1"/>
  <c r="J192" i="1"/>
  <c r="L192" i="1" s="1"/>
  <c r="T191" i="1"/>
  <c r="T190" i="1"/>
  <c r="L190" i="1"/>
  <c r="J190" i="1"/>
  <c r="T189" i="1"/>
  <c r="J189" i="1"/>
  <c r="L189" i="1" s="1"/>
  <c r="T188" i="1"/>
  <c r="T187" i="1"/>
  <c r="T186" i="1"/>
  <c r="J186" i="1"/>
  <c r="L186" i="1" s="1"/>
  <c r="T185" i="1"/>
  <c r="J185" i="1"/>
  <c r="T184" i="1"/>
  <c r="T183" i="1"/>
  <c r="T182" i="1"/>
  <c r="J182" i="1"/>
  <c r="L182" i="1" s="1"/>
  <c r="T181" i="1"/>
  <c r="J181" i="1"/>
  <c r="L181" i="1" s="1"/>
  <c r="T180" i="1"/>
  <c r="J180" i="1"/>
  <c r="T179" i="1"/>
  <c r="T178" i="1"/>
  <c r="J178" i="1"/>
  <c r="L178" i="1" s="1"/>
  <c r="T177" i="1"/>
  <c r="J177" i="1"/>
  <c r="T176" i="1"/>
  <c r="T175" i="1"/>
  <c r="T174" i="1"/>
  <c r="J174" i="1"/>
  <c r="L174" i="1" s="1"/>
  <c r="T173" i="1"/>
  <c r="J173" i="1"/>
  <c r="L173" i="1" s="1"/>
  <c r="T172" i="1"/>
  <c r="J172" i="1"/>
  <c r="T171" i="1"/>
  <c r="T170" i="1"/>
  <c r="J170" i="1"/>
  <c r="L170" i="1" s="1"/>
  <c r="T169" i="1"/>
  <c r="J169" i="1"/>
  <c r="T168" i="1"/>
  <c r="J168" i="1"/>
  <c r="L168" i="1" s="1"/>
  <c r="T167" i="1"/>
  <c r="T166" i="1"/>
  <c r="J166" i="1"/>
  <c r="L166" i="1" s="1"/>
  <c r="T165" i="1"/>
  <c r="J165" i="1"/>
  <c r="L165" i="1" s="1"/>
  <c r="T164" i="1"/>
  <c r="T163" i="1"/>
  <c r="T162" i="1"/>
  <c r="J162" i="1"/>
  <c r="L162" i="1" s="1"/>
  <c r="T161" i="1"/>
  <c r="J161" i="1"/>
  <c r="L161" i="1" s="1"/>
  <c r="T160" i="1"/>
  <c r="J160" i="1"/>
  <c r="L160" i="1" s="1"/>
  <c r="T159" i="1"/>
  <c r="T158" i="1"/>
  <c r="J158" i="1"/>
  <c r="L158" i="1" s="1"/>
  <c r="T157" i="1"/>
  <c r="J157" i="1"/>
  <c r="L157" i="1" s="1"/>
  <c r="T156" i="1"/>
  <c r="T155" i="1"/>
  <c r="T154" i="1"/>
  <c r="J154" i="1"/>
  <c r="L154" i="1" s="1"/>
  <c r="T153" i="1"/>
  <c r="J153" i="1"/>
  <c r="L153" i="1" s="1"/>
  <c r="T152" i="1"/>
  <c r="T151" i="1"/>
  <c r="T150" i="1"/>
  <c r="J150" i="1"/>
  <c r="L150" i="1" s="1"/>
  <c r="T149" i="1"/>
  <c r="J149" i="1"/>
  <c r="T148" i="1"/>
  <c r="J148" i="1"/>
  <c r="L148" i="1" s="1"/>
  <c r="T147" i="1"/>
  <c r="T146" i="1"/>
  <c r="J146" i="1"/>
  <c r="L146" i="1" s="1"/>
  <c r="T145" i="1"/>
  <c r="J145" i="1"/>
  <c r="L145" i="1" s="1"/>
  <c r="T144" i="1"/>
  <c r="J144" i="1"/>
  <c r="T143" i="1"/>
  <c r="T142" i="1"/>
  <c r="L142" i="1"/>
  <c r="J142" i="1"/>
  <c r="T141" i="1"/>
  <c r="J141" i="1"/>
  <c r="L141" i="1" s="1"/>
  <c r="T140" i="1"/>
  <c r="T139" i="1"/>
  <c r="T138" i="1"/>
  <c r="J138" i="1"/>
  <c r="L138" i="1" s="1"/>
  <c r="T137" i="1"/>
  <c r="J137" i="1"/>
  <c r="T136" i="1"/>
  <c r="T135" i="1"/>
  <c r="T134" i="1"/>
  <c r="J134" i="1"/>
  <c r="L134" i="1" s="1"/>
  <c r="T133" i="1"/>
  <c r="J133" i="1"/>
  <c r="L133" i="1" s="1"/>
  <c r="T132" i="1"/>
  <c r="L132" i="1"/>
  <c r="T131" i="1"/>
  <c r="T130" i="1"/>
  <c r="J130" i="1"/>
  <c r="L130" i="1" s="1"/>
  <c r="T129" i="1"/>
  <c r="J129" i="1"/>
  <c r="L129" i="1" s="1"/>
  <c r="T128" i="1"/>
  <c r="L128" i="1"/>
  <c r="T127" i="1"/>
  <c r="T126" i="1"/>
  <c r="J126" i="1"/>
  <c r="L126" i="1" s="1"/>
  <c r="T125" i="1"/>
  <c r="J125" i="1"/>
  <c r="T124" i="1"/>
  <c r="T123" i="1"/>
  <c r="T122" i="1"/>
  <c r="J122" i="1"/>
  <c r="L122" i="1" s="1"/>
  <c r="T121" i="1"/>
  <c r="J121" i="1"/>
  <c r="L121" i="1" s="1"/>
  <c r="T120" i="1"/>
  <c r="T119" i="1"/>
  <c r="J119" i="1"/>
  <c r="L119" i="1" s="1"/>
  <c r="T118" i="1"/>
  <c r="J118" i="1"/>
  <c r="L118" i="1" s="1"/>
  <c r="T117" i="1"/>
  <c r="J117" i="1"/>
  <c r="L117" i="1" s="1"/>
  <c r="T116" i="1"/>
  <c r="T115" i="1"/>
  <c r="T114" i="1"/>
  <c r="J114" i="1"/>
  <c r="L114" i="1" s="1"/>
  <c r="T113" i="1"/>
  <c r="J113" i="1"/>
  <c r="L113" i="1" s="1"/>
  <c r="T112" i="1"/>
  <c r="T111" i="1"/>
  <c r="T110" i="1"/>
  <c r="J110" i="1"/>
  <c r="L110" i="1" s="1"/>
  <c r="T109" i="1"/>
  <c r="J109" i="1"/>
  <c r="T108" i="1"/>
  <c r="J108" i="1"/>
  <c r="L108" i="1" s="1"/>
  <c r="T107" i="1"/>
  <c r="T106" i="1"/>
  <c r="J106" i="1"/>
  <c r="L106" i="1" s="1"/>
  <c r="T105" i="1"/>
  <c r="J105" i="1"/>
  <c r="L105" i="1" s="1"/>
  <c r="T104" i="1"/>
  <c r="J104" i="1"/>
  <c r="L104" i="1" s="1"/>
  <c r="T103" i="1"/>
  <c r="T102" i="1"/>
  <c r="J102" i="1"/>
  <c r="L102" i="1" s="1"/>
  <c r="T101" i="1"/>
  <c r="J101" i="1"/>
  <c r="L101" i="1" s="1"/>
  <c r="T100" i="1"/>
  <c r="J100" i="1"/>
  <c r="T99" i="1"/>
  <c r="T98" i="1"/>
  <c r="J98" i="1"/>
  <c r="L98" i="1" s="1"/>
  <c r="T97" i="1"/>
  <c r="J97" i="1"/>
  <c r="L97" i="1" s="1"/>
  <c r="T96" i="1"/>
  <c r="J96" i="1"/>
  <c r="T95" i="1"/>
  <c r="T94" i="1"/>
  <c r="J94" i="1"/>
  <c r="L94" i="1" s="1"/>
  <c r="T93" i="1"/>
  <c r="J93" i="1"/>
  <c r="T92" i="1"/>
  <c r="J92" i="1"/>
  <c r="T91" i="1"/>
  <c r="T90" i="1"/>
  <c r="J90" i="1"/>
  <c r="L90" i="1" s="1"/>
  <c r="T89" i="1"/>
  <c r="J89" i="1"/>
  <c r="L89" i="1" s="1"/>
  <c r="T88" i="1"/>
  <c r="J88" i="1"/>
  <c r="L88" i="1" s="1"/>
  <c r="T87" i="1"/>
  <c r="T86" i="1"/>
  <c r="L86" i="1"/>
  <c r="J86" i="1"/>
  <c r="T85" i="1"/>
  <c r="J85" i="1"/>
  <c r="L85" i="1" s="1"/>
  <c r="T84" i="1"/>
  <c r="T83" i="1"/>
  <c r="T82" i="1"/>
  <c r="J82" i="1"/>
  <c r="L82" i="1" s="1"/>
  <c r="T81" i="1"/>
  <c r="J81" i="1"/>
  <c r="L81" i="1" s="1"/>
  <c r="T80" i="1"/>
  <c r="T79" i="1"/>
  <c r="J79" i="1"/>
  <c r="T78" i="1"/>
  <c r="J78" i="1"/>
  <c r="L78" i="1" s="1"/>
  <c r="T77" i="1"/>
  <c r="J77" i="1"/>
  <c r="T76" i="1"/>
  <c r="J76" i="1"/>
  <c r="T75" i="1"/>
  <c r="T74" i="1"/>
  <c r="J74" i="1"/>
  <c r="L74" i="1" s="1"/>
  <c r="T73" i="1"/>
  <c r="J73" i="1"/>
  <c r="L73" i="1" s="1"/>
  <c r="T72" i="1"/>
  <c r="J72" i="1"/>
  <c r="L72" i="1" s="1"/>
  <c r="T71" i="1"/>
  <c r="T70" i="1"/>
  <c r="L70" i="1"/>
  <c r="J70" i="1"/>
  <c r="T69" i="1"/>
  <c r="J69" i="1"/>
  <c r="L69" i="1" s="1"/>
  <c r="T68" i="1"/>
  <c r="T67" i="1"/>
  <c r="T66" i="1"/>
  <c r="J66" i="1"/>
  <c r="L66" i="1" s="1"/>
  <c r="T65" i="1"/>
  <c r="J65" i="1"/>
  <c r="L65" i="1" s="1"/>
  <c r="T64" i="1"/>
  <c r="T63" i="1"/>
  <c r="T62" i="1"/>
  <c r="J62" i="1"/>
  <c r="L62" i="1" s="1"/>
  <c r="T61" i="1"/>
  <c r="J61" i="1"/>
  <c r="L61" i="1" s="1"/>
  <c r="T60" i="1"/>
  <c r="J60" i="1"/>
  <c r="T59" i="1"/>
  <c r="T58" i="1"/>
  <c r="J58" i="1"/>
  <c r="L58" i="1" s="1"/>
  <c r="T57" i="1"/>
  <c r="J57" i="1"/>
  <c r="L57" i="1" s="1"/>
  <c r="T56" i="1"/>
  <c r="J56" i="1"/>
  <c r="L56" i="1" s="1"/>
  <c r="T55" i="1"/>
  <c r="T54" i="1"/>
  <c r="J54" i="1"/>
  <c r="L54" i="1" s="1"/>
  <c r="T53" i="1"/>
  <c r="J53" i="1"/>
  <c r="T52" i="1"/>
  <c r="T51" i="1"/>
  <c r="T50" i="1"/>
  <c r="J50" i="1"/>
  <c r="L50" i="1" s="1"/>
  <c r="T49" i="1"/>
  <c r="J49" i="1"/>
  <c r="L49" i="1" s="1"/>
  <c r="T48" i="1"/>
  <c r="T47" i="1"/>
  <c r="T46" i="1"/>
  <c r="J46" i="1"/>
  <c r="L46" i="1" s="1"/>
  <c r="T45" i="1"/>
  <c r="J45" i="1"/>
  <c r="L45" i="1" s="1"/>
  <c r="T44" i="1"/>
  <c r="J44" i="1"/>
  <c r="T43" i="1"/>
  <c r="T42" i="1"/>
  <c r="J42" i="1"/>
  <c r="L42" i="1" s="1"/>
  <c r="T41" i="1"/>
  <c r="J41" i="1"/>
  <c r="L41" i="1" s="1"/>
  <c r="T40" i="1"/>
  <c r="J40" i="1"/>
  <c r="T39" i="1"/>
  <c r="T38" i="1"/>
  <c r="J38" i="1"/>
  <c r="L38" i="1" s="1"/>
  <c r="T37" i="1"/>
  <c r="J37" i="1"/>
  <c r="L37" i="1" s="1"/>
  <c r="T36" i="1"/>
  <c r="J36" i="1"/>
  <c r="L36" i="1" s="1"/>
  <c r="T35" i="1"/>
  <c r="T34" i="1"/>
  <c r="J34" i="1"/>
  <c r="L34" i="1" s="1"/>
  <c r="T33" i="1"/>
  <c r="J33" i="1"/>
  <c r="T32" i="1"/>
  <c r="T31" i="1"/>
  <c r="T30" i="1"/>
  <c r="J30" i="1"/>
  <c r="L30" i="1" s="1"/>
  <c r="T29" i="1"/>
  <c r="J29" i="1"/>
  <c r="L29" i="1" s="1"/>
  <c r="T28" i="1"/>
  <c r="T27" i="1"/>
  <c r="T26" i="1"/>
  <c r="J26" i="1"/>
  <c r="L26" i="1" s="1"/>
  <c r="T25" i="1"/>
  <c r="J25" i="1"/>
  <c r="L25" i="1" s="1"/>
  <c r="T24" i="1"/>
  <c r="J24" i="1"/>
  <c r="T23" i="1"/>
  <c r="T22" i="1"/>
  <c r="J22" i="1"/>
  <c r="L22" i="1" s="1"/>
  <c r="T21" i="1"/>
  <c r="J21" i="1"/>
  <c r="L21" i="1" s="1"/>
  <c r="T20" i="1"/>
  <c r="J20" i="1"/>
  <c r="L20" i="1" s="1"/>
  <c r="T19" i="1"/>
  <c r="T18" i="1"/>
  <c r="J18" i="1"/>
  <c r="L18" i="1" s="1"/>
  <c r="T17" i="1"/>
  <c r="J17" i="1"/>
  <c r="T16" i="1"/>
  <c r="T15" i="1"/>
  <c r="J15" i="1"/>
  <c r="T14" i="1"/>
  <c r="J14" i="1"/>
  <c r="L14" i="1" s="1"/>
  <c r="T13" i="1"/>
  <c r="J13" i="1"/>
  <c r="L13" i="1" s="1"/>
  <c r="T12" i="1"/>
  <c r="T11" i="1"/>
  <c r="T10" i="1"/>
  <c r="J10" i="1"/>
  <c r="L10" i="1" s="1"/>
  <c r="T9" i="1"/>
  <c r="J9" i="1"/>
  <c r="L9" i="1" s="1"/>
  <c r="T8" i="1"/>
  <c r="J8" i="1"/>
  <c r="T7" i="1"/>
  <c r="T6" i="1"/>
  <c r="J6" i="1"/>
  <c r="L6" i="1" s="1"/>
  <c r="T5" i="1"/>
  <c r="J5" i="1"/>
  <c r="L5" i="1" s="1"/>
  <c r="T4" i="1"/>
  <c r="J4" i="1"/>
  <c r="L4" i="1" s="1"/>
  <c r="T3" i="1"/>
  <c r="T2" i="1"/>
  <c r="J2" i="1"/>
  <c r="L239" i="1" l="1"/>
  <c r="L263" i="1"/>
  <c r="L11" i="1"/>
  <c r="L27" i="1"/>
  <c r="L47" i="1"/>
  <c r="L115" i="1"/>
  <c r="L171" i="1"/>
  <c r="L203" i="1"/>
  <c r="L2" i="1"/>
  <c r="L92" i="1"/>
  <c r="L96" i="1"/>
  <c r="L100" i="1"/>
  <c r="L112" i="1"/>
  <c r="L228" i="1"/>
  <c r="L149" i="1"/>
  <c r="L169" i="1"/>
  <c r="L193" i="1"/>
  <c r="L201" i="1"/>
  <c r="L225" i="1"/>
  <c r="L261" i="1"/>
  <c r="L137" i="1"/>
  <c r="L185" i="1"/>
  <c r="L217" i="1"/>
  <c r="L177" i="1"/>
  <c r="L209" i="1"/>
  <c r="L63" i="1"/>
  <c r="L223" i="1"/>
  <c r="L227" i="1"/>
  <c r="L231" i="1"/>
  <c r="L235" i="1"/>
  <c r="L243" i="1"/>
  <c r="L247" i="1"/>
  <c r="L251" i="1"/>
  <c r="L255" i="1"/>
  <c r="L259" i="1"/>
  <c r="L267" i="1"/>
  <c r="L271" i="1"/>
  <c r="L275" i="1"/>
  <c r="L279" i="1"/>
  <c r="L79" i="1"/>
  <c r="L99" i="1"/>
  <c r="L123" i="1"/>
  <c r="L283" i="1"/>
  <c r="L291" i="1"/>
  <c r="L299" i="1"/>
  <c r="L307" i="1"/>
  <c r="L315" i="1"/>
  <c r="L323" i="1"/>
  <c r="L331" i="1"/>
  <c r="L103" i="1"/>
  <c r="L195" i="1"/>
  <c r="L3" i="1"/>
  <c r="L12" i="1"/>
  <c r="L19" i="1"/>
  <c r="L28" i="1"/>
  <c r="L35" i="1"/>
  <c r="L48" i="1"/>
  <c r="L55" i="1"/>
  <c r="L67" i="1"/>
  <c r="L76" i="1"/>
  <c r="L83" i="1"/>
  <c r="L107" i="1"/>
  <c r="L155" i="1"/>
  <c r="L187" i="1"/>
  <c r="L219" i="1"/>
  <c r="L135" i="1"/>
  <c r="L151" i="1"/>
  <c r="L163" i="1"/>
  <c r="L7" i="1"/>
  <c r="L16" i="1"/>
  <c r="L23" i="1"/>
  <c r="L32" i="1"/>
  <c r="L39" i="1"/>
  <c r="L43" i="1"/>
  <c r="L52" i="1"/>
  <c r="L59" i="1"/>
  <c r="L71" i="1"/>
  <c r="L80" i="1"/>
  <c r="L87" i="1"/>
  <c r="L91" i="1"/>
  <c r="L131" i="1"/>
  <c r="L136" i="1"/>
  <c r="L140" i="1"/>
  <c r="L143" i="1"/>
  <c r="L179" i="1"/>
  <c r="L184" i="1"/>
  <c r="L211" i="1"/>
  <c r="L216" i="1"/>
  <c r="L268" i="1"/>
  <c r="L272" i="1"/>
  <c r="L147" i="1"/>
  <c r="L152" i="1"/>
  <c r="L164" i="1"/>
  <c r="L167" i="1"/>
  <c r="L172" i="1"/>
  <c r="L175" i="1"/>
  <c r="L180" i="1"/>
  <c r="L183" i="1"/>
  <c r="L188" i="1"/>
  <c r="L191" i="1"/>
  <c r="L196" i="1"/>
  <c r="L199" i="1"/>
  <c r="L204" i="1"/>
  <c r="L207" i="1"/>
  <c r="L212" i="1"/>
  <c r="L215" i="1"/>
  <c r="L220" i="1"/>
  <c r="L236" i="1"/>
  <c r="L256" i="1"/>
  <c r="L264" i="1"/>
  <c r="L8" i="1"/>
  <c r="L15" i="1"/>
  <c r="L17" i="1"/>
  <c r="L24" i="1"/>
  <c r="L31" i="1"/>
  <c r="L33" i="1"/>
  <c r="L40" i="1"/>
  <c r="L44" i="1"/>
  <c r="L51" i="1"/>
  <c r="L53" i="1"/>
  <c r="L60" i="1"/>
  <c r="L68" i="1"/>
  <c r="L75" i="1"/>
  <c r="L77" i="1"/>
  <c r="L84" i="1"/>
  <c r="L93" i="1"/>
  <c r="L95" i="1"/>
  <c r="L109" i="1"/>
  <c r="L111" i="1"/>
  <c r="L125" i="1"/>
  <c r="L127" i="1"/>
  <c r="L139" i="1"/>
  <c r="L144" i="1"/>
  <c r="L156" i="1"/>
  <c r="L159" i="1"/>
  <c r="L233" i="1"/>
  <c r="L240" i="1"/>
  <c r="L248" i="1"/>
  <c r="L253" i="1"/>
  <c r="L273" i="1"/>
  <c r="L284" i="1"/>
  <c r="L287" i="1"/>
  <c r="L292" i="1"/>
  <c r="L295" i="1"/>
  <c r="L300" i="1"/>
  <c r="L303" i="1"/>
  <c r="L308" i="1"/>
  <c r="L311" i="1"/>
  <c r="L316" i="1"/>
  <c r="L319" i="1"/>
  <c r="L324" i="1"/>
  <c r="L327" i="1"/>
  <c r="L3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GEEK STORE</author>
  </authors>
  <commentList>
    <comment ref="H139" authorId="0" shapeId="0" xr:uid="{B984AF85-FC53-4E1B-BB5A-91C0A0AED375}">
      <text>
        <r>
          <rPr>
            <b/>
            <sz val="9"/>
            <color indexed="81"/>
            <rFont val="Tahoma"/>
            <family val="2"/>
          </rPr>
          <t xml:space="preserve">GEEK STORE:TENEMOS QUE HACER 2 </t>
        </r>
        <r>
          <rPr>
            <sz val="9"/>
            <color indexed="81"/>
            <rFont val="Tahoma"/>
            <family val="2"/>
          </rPr>
          <t xml:space="preserve">
COMPRAS DE 3 UNIDADES PARA PROPRATEAR Y VENDER  </t>
        </r>
        <r>
          <rPr>
            <b/>
            <sz val="9"/>
            <color indexed="81"/>
            <rFont val="Tahoma"/>
            <family val="2"/>
          </rPr>
          <t>A 3750 BS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0" authorId="0" shapeId="0" xr:uid="{04BB104A-5EE0-488D-849C-E4612402DABA}">
      <text>
        <r>
          <rPr>
            <b/>
            <sz val="9"/>
            <color indexed="81"/>
            <rFont val="Tahoma"/>
            <family val="2"/>
          </rPr>
          <t>GEEK STORE:
TENEMOS QUE HACER 2 
COMPRAS DE 3 UNIDADES PARA PROPRATEAR Y VENDER  A 3950 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1" authorId="0" shapeId="0" xr:uid="{F52B049E-5BBD-4FB4-BAB2-425945104AD3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TENEMOS QUE HACER 2 
COMPRAS DE 4 UNIDADES PARA PROPRATEAR Y VENDER  A 4500 BS
</t>
        </r>
      </text>
    </comment>
    <comment ref="H224" authorId="0" shapeId="0" xr:uid="{7B79173E-E64D-48EC-9489-9A2D45F645E6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PRORRATEADO
4+6/10
</t>
        </r>
      </text>
    </comment>
    <comment ref="H238" authorId="0" shapeId="0" xr:uid="{650AFE9D-BB09-4C0D-B152-8126BBA4B2EC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195$ (3200BS T.C 16,35)
</t>
        </r>
      </text>
    </comment>
    <comment ref="H239" authorId="0" shapeId="0" xr:uid="{65EEA318-DDD4-454A-A6F1-CA04C45486D2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NO BAJAMOS DE PRECIO TUNEAREMOS
</t>
        </r>
      </text>
    </comment>
    <comment ref="S249" authorId="0" shapeId="0" xr:uid="{68BF2928-0BD9-4FD2-A18A-176CF9806A7E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8 unid buenas
1 unid abollada DE MIRKO
</t>
        </r>
      </text>
    </comment>
    <comment ref="S253" authorId="0" shapeId="0" xr:uid="{DBF4F3BC-7D08-4BF9-B5F0-B8010C0FA4FF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2 ABOLLADOS 
5 BUENAS
</t>
        </r>
      </text>
    </comment>
  </commentList>
</comments>
</file>

<file path=xl/sharedStrings.xml><?xml version="1.0" encoding="utf-8"?>
<sst xmlns="http://schemas.openxmlformats.org/spreadsheetml/2006/main" count="2639" uniqueCount="729">
  <si>
    <t xml:space="preserve">MARCA </t>
  </si>
  <si>
    <t>PRODUCTO</t>
  </si>
  <si>
    <t>DETALLE</t>
  </si>
  <si>
    <t>CAP.</t>
  </si>
  <si>
    <t>CARACTERISTICAS</t>
  </si>
  <si>
    <t>MODELO</t>
  </si>
  <si>
    <t>COLOR</t>
  </si>
  <si>
    <t>REAL BS.</t>
  </si>
  <si>
    <t>LOG</t>
  </si>
  <si>
    <t>MCM</t>
  </si>
  <si>
    <t>PRECIO PUBLICO</t>
  </si>
  <si>
    <t>BONO</t>
  </si>
  <si>
    <t>GALLO 18</t>
  </si>
  <si>
    <t>GALLO 20</t>
  </si>
  <si>
    <t>VICT</t>
  </si>
  <si>
    <t>PEMO SUR</t>
  </si>
  <si>
    <t>TOTAL CAJAS</t>
  </si>
  <si>
    <t>PROVEEDOR</t>
  </si>
  <si>
    <t>ABBA</t>
  </si>
  <si>
    <t>COCINA</t>
  </si>
  <si>
    <t>DE PISO</t>
  </si>
  <si>
    <t>4H</t>
  </si>
  <si>
    <t>MESAVIDRIO E.E. GRILL ELEC.</t>
  </si>
  <si>
    <t>AG202-3TC</t>
  </si>
  <si>
    <t>NEGRO</t>
  </si>
  <si>
    <t>ROSVANIA</t>
  </si>
  <si>
    <t>6H</t>
  </si>
  <si>
    <t>RG803-5GT</t>
  </si>
  <si>
    <t>DE MESA</t>
  </si>
  <si>
    <t>E.E. MESON DE LOZA</t>
  </si>
  <si>
    <t>SG-400NEE</t>
  </si>
  <si>
    <t>S/E.E. MESON DE LOZA</t>
  </si>
  <si>
    <t>SB-400QL</t>
  </si>
  <si>
    <t>2H</t>
  </si>
  <si>
    <t>MESON DE LOZA</t>
  </si>
  <si>
    <t>ST-200</t>
  </si>
  <si>
    <t>BRASLAR</t>
  </si>
  <si>
    <t>MESON DE ACERO INOX.</t>
  </si>
  <si>
    <t>JUNIOR</t>
  </si>
  <si>
    <t>BLANCO</t>
  </si>
  <si>
    <t>BLACK @DECKER</t>
  </si>
  <si>
    <t>FREIDORA</t>
  </si>
  <si>
    <t>DE AIRE</t>
  </si>
  <si>
    <t>2 Lts.</t>
  </si>
  <si>
    <t>CIRCULACION AIRE RAPIDO</t>
  </si>
  <si>
    <t>HF-100WDCL</t>
  </si>
  <si>
    <t>CHALLENGER</t>
  </si>
  <si>
    <t>HORNO</t>
  </si>
  <si>
    <t>DE EMPOTRAR</t>
  </si>
  <si>
    <t>60 CM</t>
  </si>
  <si>
    <t>ELEC. C/VENTILADOR</t>
  </si>
  <si>
    <t>HG-2562</t>
  </si>
  <si>
    <t>EXTRACTORA</t>
  </si>
  <si>
    <t>DE GRASA</t>
  </si>
  <si>
    <t>76 CM</t>
  </si>
  <si>
    <t>1 MOTOR ,3 VEL.ANALOGICO</t>
  </si>
  <si>
    <t>CX-4500</t>
  </si>
  <si>
    <t>INOX</t>
  </si>
  <si>
    <t>CADSA</t>
  </si>
  <si>
    <t>MESA DE ACERO INOX.</t>
  </si>
  <si>
    <t>CM-02</t>
  </si>
  <si>
    <t>SOTO</t>
  </si>
  <si>
    <t>CONSUL</t>
  </si>
  <si>
    <t>CONGELADOR</t>
  </si>
  <si>
    <t>HORIZONTAL</t>
  </si>
  <si>
    <t>250 Lts.</t>
  </si>
  <si>
    <t>1 PUERTA DUAL INT.BLANCO</t>
  </si>
  <si>
    <t>CHA-22BDWX</t>
  </si>
  <si>
    <t>DISMATEC</t>
  </si>
  <si>
    <t>310 Lts.</t>
  </si>
  <si>
    <t>CHA-31BDWX</t>
  </si>
  <si>
    <t>420 Lts.</t>
  </si>
  <si>
    <t>CHB-42BDWX</t>
  </si>
  <si>
    <t>530 Lts.</t>
  </si>
  <si>
    <t>CHB-53BDWX</t>
  </si>
  <si>
    <t xml:space="preserve">VERTICAL </t>
  </si>
  <si>
    <t>280 Lts.</t>
  </si>
  <si>
    <t>CVG28HBDWX</t>
  </si>
  <si>
    <t>LAVADORA</t>
  </si>
  <si>
    <t>FRONTAL</t>
  </si>
  <si>
    <t>6 KG</t>
  </si>
  <si>
    <t>MOTOR INVERTER</t>
  </si>
  <si>
    <t>CLF-60ABDW</t>
  </si>
  <si>
    <t>TAPA SUPERIOR</t>
  </si>
  <si>
    <t>15Kg.</t>
  </si>
  <si>
    <t>MOTOR CON CORREA</t>
  </si>
  <si>
    <t>CWK-15AB9EA</t>
  </si>
  <si>
    <t>REFRIGERADOR</t>
  </si>
  <si>
    <t>1 PUERTA</t>
  </si>
  <si>
    <t>300 Lts.</t>
  </si>
  <si>
    <t>SEMI ESCARCHA</t>
  </si>
  <si>
    <t>CRC-30</t>
  </si>
  <si>
    <t>2 PUERTAS</t>
  </si>
  <si>
    <t>370 Lts.</t>
  </si>
  <si>
    <t>SEMI SECO</t>
  </si>
  <si>
    <t>CRD-36</t>
  </si>
  <si>
    <t>390 Lts.</t>
  </si>
  <si>
    <t>FRIO SECO</t>
  </si>
  <si>
    <t>CRM-39</t>
  </si>
  <si>
    <t>430 Lts.</t>
  </si>
  <si>
    <t>CRM-44</t>
  </si>
  <si>
    <t>410 Lts.</t>
  </si>
  <si>
    <t>CRM-50</t>
  </si>
  <si>
    <t>560 Lts,</t>
  </si>
  <si>
    <t>CRM-56</t>
  </si>
  <si>
    <t>MICROONDAS</t>
  </si>
  <si>
    <t>20 Lts.</t>
  </si>
  <si>
    <t>ANALOGO</t>
  </si>
  <si>
    <t>CMS-20WF25Z</t>
  </si>
  <si>
    <t>AIDISA</t>
  </si>
  <si>
    <t>CONTINENTAL</t>
  </si>
  <si>
    <t>90 CM</t>
  </si>
  <si>
    <t>CAMPANA</t>
  </si>
  <si>
    <t>CC-9VX</t>
  </si>
  <si>
    <t>9 Kg.</t>
  </si>
  <si>
    <t>LCONT-9KG</t>
  </si>
  <si>
    <t>DAEWOO</t>
  </si>
  <si>
    <t>DWF-090</t>
  </si>
  <si>
    <t>11 Kg,</t>
  </si>
  <si>
    <t>DWF-110</t>
  </si>
  <si>
    <t>13 Kg.</t>
  </si>
  <si>
    <t>DWF-130</t>
  </si>
  <si>
    <t>17 KG.</t>
  </si>
  <si>
    <t>DWF-170</t>
  </si>
  <si>
    <t>TAPA FRONTAL</t>
  </si>
  <si>
    <t>11/7 KG</t>
  </si>
  <si>
    <t>DWC-11PDD</t>
  </si>
  <si>
    <t>160 Lts.</t>
  </si>
  <si>
    <t>REFRI-160L</t>
  </si>
  <si>
    <t>PLOMO</t>
  </si>
  <si>
    <t>453 Lts.</t>
  </si>
  <si>
    <t>DWFR-453</t>
  </si>
  <si>
    <t>341 Lts.</t>
  </si>
  <si>
    <t>ESPEJ. EUROPEO FRIO SECO</t>
  </si>
  <si>
    <t>DRF341</t>
  </si>
  <si>
    <t>3 PUERTAS</t>
  </si>
  <si>
    <t>MULTIDOOR</t>
  </si>
  <si>
    <t>DMULTI-476</t>
  </si>
  <si>
    <t>4 PUERTAS</t>
  </si>
  <si>
    <t>FRENCH DOOR</t>
  </si>
  <si>
    <t>DFRENCH-510B</t>
  </si>
  <si>
    <t>34 Lts.</t>
  </si>
  <si>
    <t>C/GRILL INOX INTERIOR</t>
  </si>
  <si>
    <t>KOG-134K</t>
  </si>
  <si>
    <t>MESA VITRO E.E. GRILL</t>
  </si>
  <si>
    <t>DCOOK-60MB</t>
  </si>
  <si>
    <t>5H</t>
  </si>
  <si>
    <t>DCOOK-90MB</t>
  </si>
  <si>
    <t>EXHIBIDOR</t>
  </si>
  <si>
    <t xml:space="preserve">1 PUERTA DE VIDRIO </t>
  </si>
  <si>
    <t>DFR-70</t>
  </si>
  <si>
    <t>DAGOR</t>
  </si>
  <si>
    <t>CAMPANA DE VIDRIO</t>
  </si>
  <si>
    <t>CXW-200</t>
  </si>
  <si>
    <t>VIDRIO</t>
  </si>
  <si>
    <t>MAURICIO</t>
  </si>
  <si>
    <t xml:space="preserve"> TRIPLE LLAMA </t>
  </si>
  <si>
    <t>JZ(Y,R,T)4-606</t>
  </si>
  <si>
    <t>DAKO</t>
  </si>
  <si>
    <t>MESON INOX S/GRILL</t>
  </si>
  <si>
    <t>MERCURI</t>
  </si>
  <si>
    <t>MADISA</t>
  </si>
  <si>
    <t>MESAS INOX</t>
  </si>
  <si>
    <t>MERCURY</t>
  </si>
  <si>
    <t xml:space="preserve">LUNA </t>
  </si>
  <si>
    <t>LUNA</t>
  </si>
  <si>
    <t>PLATA</t>
  </si>
  <si>
    <t>MESON INOX GRILL E.E.</t>
  </si>
  <si>
    <t>DAKOTA</t>
  </si>
  <si>
    <t>VITRO E.E. GRILL</t>
  </si>
  <si>
    <t>AGILE</t>
  </si>
  <si>
    <t>VITRO E.E. GRILL TEMPORIZADOR</t>
  </si>
  <si>
    <t xml:space="preserve">SUPREME </t>
  </si>
  <si>
    <t>TITANIUM</t>
  </si>
  <si>
    <t>SUPREME</t>
  </si>
  <si>
    <t>DIPLOMATA</t>
  </si>
  <si>
    <t>MAGISTER</t>
  </si>
  <si>
    <t>VITROCERAMICA</t>
  </si>
  <si>
    <t>ECOGAS</t>
  </si>
  <si>
    <t>M.INOX,E.E. GRILL ,SPIEDO</t>
  </si>
  <si>
    <t>CELINA</t>
  </si>
  <si>
    <t>ELECTROLUX</t>
  </si>
  <si>
    <t xml:space="preserve">HORNO </t>
  </si>
  <si>
    <t xml:space="preserve">A GAS </t>
  </si>
  <si>
    <t>EOGG24M7MP</t>
  </si>
  <si>
    <t>SAUL J.</t>
  </si>
  <si>
    <t>SEMISECO</t>
  </si>
  <si>
    <t>ERTY20</t>
  </si>
  <si>
    <t>ERT23F6Y4AS</t>
  </si>
  <si>
    <t>ERTM45F5HPS</t>
  </si>
  <si>
    <t>TRIPLEX</t>
  </si>
  <si>
    <t>ERTS12K5HUS</t>
  </si>
  <si>
    <t>312 Lts.</t>
  </si>
  <si>
    <t>FRIO SECO INVERTIDO</t>
  </si>
  <si>
    <t>ERBA29K5HVG</t>
  </si>
  <si>
    <t>510 Lts.</t>
  </si>
  <si>
    <t>HOME BAR,ICE MAKER</t>
  </si>
  <si>
    <t>ERBS51USMQS</t>
  </si>
  <si>
    <t>540 Lts.</t>
  </si>
  <si>
    <t>FRENCH DOOR,C/DISP.FRIO SECO</t>
  </si>
  <si>
    <t>DM90X</t>
  </si>
  <si>
    <t>7,5 Lts.</t>
  </si>
  <si>
    <t>EWIW75F5USVG</t>
  </si>
  <si>
    <t>9,5 Lts.</t>
  </si>
  <si>
    <t>EWIW95F5USVG</t>
  </si>
  <si>
    <t>LAVASECA</t>
  </si>
  <si>
    <t>11,5 KG</t>
  </si>
  <si>
    <t>EWD11S</t>
  </si>
  <si>
    <t>8 Kg.</t>
  </si>
  <si>
    <t>ELAF-208W</t>
  </si>
  <si>
    <t>BLANCA</t>
  </si>
  <si>
    <t>PLANCHAS</t>
  </si>
  <si>
    <t xml:space="preserve">DE ROPA </t>
  </si>
  <si>
    <t>TEFLON ,ROCIADOR,VAPOR</t>
  </si>
  <si>
    <t>ES-Y10</t>
  </si>
  <si>
    <t>VARIOS</t>
  </si>
  <si>
    <t>200 Lts.</t>
  </si>
  <si>
    <t>1 TAPA DUAL</t>
  </si>
  <si>
    <t>EFCC25C5HQW</t>
  </si>
  <si>
    <t>EFCC32C5HQW</t>
  </si>
  <si>
    <t>MUESTRA</t>
  </si>
  <si>
    <t>ETGD36</t>
  </si>
  <si>
    <t>ELECTRIC</t>
  </si>
  <si>
    <t>ESTUFA</t>
  </si>
  <si>
    <t>NSB-160Y8</t>
  </si>
  <si>
    <t>REGINA</t>
  </si>
  <si>
    <t>ELEQUI</t>
  </si>
  <si>
    <t>EE , GRILL,</t>
  </si>
  <si>
    <t>GIADA</t>
  </si>
  <si>
    <t>MARTIZENT</t>
  </si>
  <si>
    <t>EE, GRILL,TODO ACERO 50CM</t>
  </si>
  <si>
    <t>CATERINA</t>
  </si>
  <si>
    <t>EE,GRILL,LUZ,TIMER DIGITAL,SPIEDO</t>
  </si>
  <si>
    <t>VITTORIA</t>
  </si>
  <si>
    <t>ALLEGRA</t>
  </si>
  <si>
    <t>9 kg.</t>
  </si>
  <si>
    <t>ELE-9T</t>
  </si>
  <si>
    <t>12 kg.</t>
  </si>
  <si>
    <t>ELE-12T</t>
  </si>
  <si>
    <t>18 kg.</t>
  </si>
  <si>
    <t>ELE-18VN</t>
  </si>
  <si>
    <t>2 MOTOR ,3 VEL.DIGITAL</t>
  </si>
  <si>
    <t>ELE-60PH</t>
  </si>
  <si>
    <t>80 CM</t>
  </si>
  <si>
    <t>ELE-80PH</t>
  </si>
  <si>
    <t>ELE-90PH</t>
  </si>
  <si>
    <t>ELE-60BH2</t>
  </si>
  <si>
    <t>ELE-80BH2</t>
  </si>
  <si>
    <t>ELE-90BH2</t>
  </si>
  <si>
    <t>ENXUTA</t>
  </si>
  <si>
    <t>LENX1685</t>
  </si>
  <si>
    <t>FENSA</t>
  </si>
  <si>
    <t>DOBLE HORNO</t>
  </si>
  <si>
    <t xml:space="preserve">56DTX </t>
  </si>
  <si>
    <t>FORENZA</t>
  </si>
  <si>
    <t>CASTELL</t>
  </si>
  <si>
    <t>MIGUEL LP</t>
  </si>
  <si>
    <t>FERROGAS</t>
  </si>
  <si>
    <t>MESA INOX</t>
  </si>
  <si>
    <t>ASIS500</t>
  </si>
  <si>
    <t xml:space="preserve">CRONOS </t>
  </si>
  <si>
    <t>FRICON</t>
  </si>
  <si>
    <t>411 Lts.</t>
  </si>
  <si>
    <t>2 PUERTAS DUAL</t>
  </si>
  <si>
    <t>HFED411</t>
  </si>
  <si>
    <t>503 Lts.</t>
  </si>
  <si>
    <t>HFED503</t>
  </si>
  <si>
    <t>GENERAL LUX</t>
  </si>
  <si>
    <t>AIRE</t>
  </si>
  <si>
    <t>ACONDICIONADO</t>
  </si>
  <si>
    <t>24 MIL BTU</t>
  </si>
  <si>
    <t>SPLIT C/CONDENSADOR</t>
  </si>
  <si>
    <t>AAGLUX-24BTU</t>
  </si>
  <si>
    <t>GUINDO</t>
  </si>
  <si>
    <t>DESCONOCIDO</t>
  </si>
  <si>
    <t>HISENSE</t>
  </si>
  <si>
    <t xml:space="preserve">MESA INOX,E.E. </t>
  </si>
  <si>
    <t>HFG50111X</t>
  </si>
  <si>
    <t>23 Lts.</t>
  </si>
  <si>
    <t>GRILL</t>
  </si>
  <si>
    <t>H23MOMS5HG</t>
  </si>
  <si>
    <t>28 Lts.</t>
  </si>
  <si>
    <t>GRILL,TURBO VENTILADOR</t>
  </si>
  <si>
    <t>H28MOBS10HC</t>
  </si>
  <si>
    <t>30 Lts.</t>
  </si>
  <si>
    <t>H30MOMS9HG</t>
  </si>
  <si>
    <t>45 Lts.</t>
  </si>
  <si>
    <t>H45MOMK9</t>
  </si>
  <si>
    <t>WT1D8030UT</t>
  </si>
  <si>
    <t>10 Kg.</t>
  </si>
  <si>
    <t>WT3J1023UT</t>
  </si>
  <si>
    <t>WT3J1323UT</t>
  </si>
  <si>
    <t>WT3J1523UT</t>
  </si>
  <si>
    <t>19 Kg.</t>
  </si>
  <si>
    <t>WT3W1923UT</t>
  </si>
  <si>
    <t>WFQA-1014</t>
  </si>
  <si>
    <t>12/8 Kg.</t>
  </si>
  <si>
    <t>MOTOR INEVERTER</t>
  </si>
  <si>
    <t>WD3S-1243BT</t>
  </si>
  <si>
    <t>REF-091</t>
  </si>
  <si>
    <t>RD-27DR</t>
  </si>
  <si>
    <t>REF-16DR</t>
  </si>
  <si>
    <t>RD-200DR</t>
  </si>
  <si>
    <t>RT320NV</t>
  </si>
  <si>
    <t>RD42WRD</t>
  </si>
  <si>
    <t>428 Lts.</t>
  </si>
  <si>
    <t>SBS BASICO</t>
  </si>
  <si>
    <t>RC-56WS</t>
  </si>
  <si>
    <t>531 Lts.</t>
  </si>
  <si>
    <t xml:space="preserve">SBS Panel Digital </t>
  </si>
  <si>
    <t>RS3P558NECF</t>
  </si>
  <si>
    <t>359 Lts.</t>
  </si>
  <si>
    <t>MULTIDOOR C/DISPENSER</t>
  </si>
  <si>
    <t>RQ3P431NMBA</t>
  </si>
  <si>
    <t>FRENCH DOOR,FRIO SECO</t>
  </si>
  <si>
    <t>RF-632N4WIE</t>
  </si>
  <si>
    <t>144 Lts.</t>
  </si>
  <si>
    <t>1 PUERTA DUAL INT. ALUMINIO</t>
  </si>
  <si>
    <t>FC-184D4AW1</t>
  </si>
  <si>
    <t>296 Lts.</t>
  </si>
  <si>
    <t>FC-39DT</t>
  </si>
  <si>
    <t>HACEB</t>
  </si>
  <si>
    <t>270 Lts.</t>
  </si>
  <si>
    <t>N271</t>
  </si>
  <si>
    <t>MESAS INOXE.E. LUZ</t>
  </si>
  <si>
    <t>ARC-VGAS-EE</t>
  </si>
  <si>
    <t xml:space="preserve">HOMER </t>
  </si>
  <si>
    <t>2 MOTORES,3 VEL,DIGITAL</t>
  </si>
  <si>
    <t>MCSH-6001</t>
  </si>
  <si>
    <t>L.POMA</t>
  </si>
  <si>
    <t>MCSH-8001</t>
  </si>
  <si>
    <t>MCSH-9001</t>
  </si>
  <si>
    <t>BF-227</t>
  </si>
  <si>
    <t>ROJO</t>
  </si>
  <si>
    <t>BD-257</t>
  </si>
  <si>
    <t>INDURAMA</t>
  </si>
  <si>
    <t>DUBLIN</t>
  </si>
  <si>
    <t>EE,LUZ,GRILL GAS</t>
  </si>
  <si>
    <t>CASTILLA QUARZO</t>
  </si>
  <si>
    <t>EE,LUZ,TRILLAMA,PARR yQUEM H FUNDIDO</t>
  </si>
  <si>
    <t>POMPEYA ZAFIRO</t>
  </si>
  <si>
    <t>EE,LUZ,GRILL,TRILLAMA,PARR yQUEM H FUNDIDO</t>
  </si>
  <si>
    <t>FLORENCIA ZAFIRO</t>
  </si>
  <si>
    <t>EE,LUZ,GRILLGAS,CORTAGAS,SPIEADERA TRILLAMA</t>
  </si>
  <si>
    <t>ALCALA QUARZO</t>
  </si>
  <si>
    <t>EE,LUZ,GRILL GAS,CORTAGA,STRILLAMA</t>
  </si>
  <si>
    <t>VARESE ZAFIRO</t>
  </si>
  <si>
    <t>EE,LUZ,PANEL DIGITAL,CORTAGAS,GRILLGAS</t>
  </si>
  <si>
    <t>MONTECARLO ZAFIRO</t>
  </si>
  <si>
    <t>EE,LUZ,GRILL GAS,CORTAGAS</t>
  </si>
  <si>
    <t>GALICIA ZAFIRO</t>
  </si>
  <si>
    <t>FIRENZE ZAFIRO</t>
  </si>
  <si>
    <t>EE,LUZ,PANEL DIGITAL,CORTAGAS,TURBO,GRILLGAS</t>
  </si>
  <si>
    <t>ROMA ZAFIRO</t>
  </si>
  <si>
    <t>ROMA QZO.</t>
  </si>
  <si>
    <t>VERTICAL</t>
  </si>
  <si>
    <t>520Lts.</t>
  </si>
  <si>
    <t>VFV520</t>
  </si>
  <si>
    <t>FREIDORAS</t>
  </si>
  <si>
    <t>TEFLON</t>
  </si>
  <si>
    <t>173 Lts.</t>
  </si>
  <si>
    <t>SEMI SECO C/DISPENSER</t>
  </si>
  <si>
    <t>RI-289D</t>
  </si>
  <si>
    <t>206 Lts.</t>
  </si>
  <si>
    <t>FRIOSECO</t>
  </si>
  <si>
    <t>RI-349D</t>
  </si>
  <si>
    <t>389 Lts.</t>
  </si>
  <si>
    <t>RI-389D</t>
  </si>
  <si>
    <t>346 Lts.</t>
  </si>
  <si>
    <t>RI-439</t>
  </si>
  <si>
    <t>446 Lts.</t>
  </si>
  <si>
    <t>RI-479</t>
  </si>
  <si>
    <t>436 Lts.</t>
  </si>
  <si>
    <t>RI-770</t>
  </si>
  <si>
    <t>FRIGOBAR</t>
  </si>
  <si>
    <t>ESCARCHA</t>
  </si>
  <si>
    <t>RI-101</t>
  </si>
  <si>
    <t>RI-130</t>
  </si>
  <si>
    <t>RI-150</t>
  </si>
  <si>
    <t>LRI-6FB</t>
  </si>
  <si>
    <t>LRI-8FB</t>
  </si>
  <si>
    <t>S/GRILL</t>
  </si>
  <si>
    <t>NWI-20NEM</t>
  </si>
  <si>
    <t xml:space="preserve">30 Lts. </t>
  </si>
  <si>
    <t>MWI-30NEG</t>
  </si>
  <si>
    <t>LRI-15DGEI</t>
  </si>
  <si>
    <t>ITATIAIA</t>
  </si>
  <si>
    <t>MESON VITROCERAMICA</t>
  </si>
  <si>
    <t>CITA-4HVN</t>
  </si>
  <si>
    <t>VITRONEGRO</t>
  </si>
  <si>
    <t>IRT</t>
  </si>
  <si>
    <t>353 Lts.</t>
  </si>
  <si>
    <t>FRIO SECO C/DISPENSER</t>
  </si>
  <si>
    <t>RFNFW-363</t>
  </si>
  <si>
    <t>MIRKO</t>
  </si>
  <si>
    <t>KERNING</t>
  </si>
  <si>
    <t>EM-720C2MT</t>
  </si>
  <si>
    <t>29 Lts.</t>
  </si>
  <si>
    <t>EG9PG032GU</t>
  </si>
  <si>
    <t xml:space="preserve">MESA INOX             </t>
  </si>
  <si>
    <t>MOD1536</t>
  </si>
  <si>
    <t xml:space="preserve">MESA LOZA NEGRA </t>
  </si>
  <si>
    <t>MOD1617</t>
  </si>
  <si>
    <t>M.INOX,E.E,GRILL,SPIEDO</t>
  </si>
  <si>
    <t>C800K4S</t>
  </si>
  <si>
    <t>C800-BS</t>
  </si>
  <si>
    <t>KRN-F9H50G2-HI</t>
  </si>
  <si>
    <t>KRN-F6IP40G2</t>
  </si>
  <si>
    <t>065 Lts.</t>
  </si>
  <si>
    <t>KDR-65C</t>
  </si>
  <si>
    <t>121 Lts.</t>
  </si>
  <si>
    <t>KDR-121C</t>
  </si>
  <si>
    <t>KDR-113C</t>
  </si>
  <si>
    <t>KDR-147C</t>
  </si>
  <si>
    <t>216 Lts.</t>
  </si>
  <si>
    <t>KDR-216</t>
  </si>
  <si>
    <t>247 Lts.</t>
  </si>
  <si>
    <t>KDR-247C</t>
  </si>
  <si>
    <t>207 Lts.</t>
  </si>
  <si>
    <t>KDR-273C</t>
  </si>
  <si>
    <t>294 Lts.</t>
  </si>
  <si>
    <t>KDR-294C</t>
  </si>
  <si>
    <t>273 Lts.</t>
  </si>
  <si>
    <t>FRIO SECO ,INVERTIDO</t>
  </si>
  <si>
    <t>KDR-357C</t>
  </si>
  <si>
    <t>383 Lts.</t>
  </si>
  <si>
    <t>KDR-383C</t>
  </si>
  <si>
    <t>338 Lts.</t>
  </si>
  <si>
    <t>KDR-468C</t>
  </si>
  <si>
    <t>413 Lts.</t>
  </si>
  <si>
    <t>KDR-559</t>
  </si>
  <si>
    <t>508 Lts.</t>
  </si>
  <si>
    <t>KDR-663C</t>
  </si>
  <si>
    <t>598 Lts.</t>
  </si>
  <si>
    <t xml:space="preserve"> SIDE BY SIDE NOT FROST</t>
  </si>
  <si>
    <t>KDR-598C</t>
  </si>
  <si>
    <t>170 Lts.</t>
  </si>
  <si>
    <t>KUF-170S</t>
  </si>
  <si>
    <t>KTM-181S</t>
  </si>
  <si>
    <t>262 Lts.</t>
  </si>
  <si>
    <t>KCBV-2625</t>
  </si>
  <si>
    <t>129 Lts.</t>
  </si>
  <si>
    <t>1 PUERTA DUAL INT.BCO.</t>
  </si>
  <si>
    <t>KDR-129C</t>
  </si>
  <si>
    <t>186 Lts.</t>
  </si>
  <si>
    <t>KDR-186C</t>
  </si>
  <si>
    <t>670 Lts.</t>
  </si>
  <si>
    <t>2 PUERTAS DUAL INT BCO.</t>
  </si>
  <si>
    <t>KDR-670</t>
  </si>
  <si>
    <t>730 Lts.</t>
  </si>
  <si>
    <t>KDR-738</t>
  </si>
  <si>
    <t>12 MIL BTU</t>
  </si>
  <si>
    <t>DSAF-CS-12HRN1</t>
  </si>
  <si>
    <t>KRNAE80-1104TPS</t>
  </si>
  <si>
    <t>SILVER</t>
  </si>
  <si>
    <t>KRNAE100-504TPS</t>
  </si>
  <si>
    <t>KRWFK100</t>
  </si>
  <si>
    <t xml:space="preserve">1 PUERTA VIDRIO </t>
  </si>
  <si>
    <t>SC-256</t>
  </si>
  <si>
    <t>92 Lts.</t>
  </si>
  <si>
    <t>KD-100</t>
  </si>
  <si>
    <t>KD-500TC</t>
  </si>
  <si>
    <t>336 Lts.</t>
  </si>
  <si>
    <t>2 PUERTAS VIDRIO HELADERO</t>
  </si>
  <si>
    <t>SC-336</t>
  </si>
  <si>
    <t>KHOR</t>
  </si>
  <si>
    <t>2 MOTORES 3 VEL. ANALOGICO</t>
  </si>
  <si>
    <t xml:space="preserve">RETRACTIL </t>
  </si>
  <si>
    <t>PERU</t>
  </si>
  <si>
    <t>L.G</t>
  </si>
  <si>
    <t>WT-13</t>
  </si>
  <si>
    <t>WT-9WL</t>
  </si>
  <si>
    <t>9/5Kg.</t>
  </si>
  <si>
    <t>MOTOR DIRECTO</t>
  </si>
  <si>
    <t>WD-9WVC4S6</t>
  </si>
  <si>
    <t>18 Kg.</t>
  </si>
  <si>
    <t>SMART INVERTER</t>
  </si>
  <si>
    <t>WT-18WVTB</t>
  </si>
  <si>
    <t>WT-18WV6</t>
  </si>
  <si>
    <t>WT-19MV6</t>
  </si>
  <si>
    <t>WT-19MVTB</t>
  </si>
  <si>
    <t>21 Kg.</t>
  </si>
  <si>
    <t>WT-21PBV6</t>
  </si>
  <si>
    <t>25 Kg.</t>
  </si>
  <si>
    <t>WT-25PBVS6S</t>
  </si>
  <si>
    <t xml:space="preserve">FRONTAL </t>
  </si>
  <si>
    <t>12 Kg.</t>
  </si>
  <si>
    <t>WM-12WVC4S6</t>
  </si>
  <si>
    <t>14/7 Kg.</t>
  </si>
  <si>
    <t>WD-14WVC4S6</t>
  </si>
  <si>
    <t>WD-14VVC4S6</t>
  </si>
  <si>
    <t>400 Lts.</t>
  </si>
  <si>
    <t>VT-40SPP</t>
  </si>
  <si>
    <t>MD-404</t>
  </si>
  <si>
    <t>MABE</t>
  </si>
  <si>
    <t>MBT12CDVW</t>
  </si>
  <si>
    <t>CAMSA</t>
  </si>
  <si>
    <t>215 Lts.</t>
  </si>
  <si>
    <t>SEMSECO</t>
  </si>
  <si>
    <t>RMC-215PURRO</t>
  </si>
  <si>
    <t xml:space="preserve">RMD-310PVURBO 
</t>
  </si>
  <si>
    <t>360 Lts.</t>
  </si>
  <si>
    <t xml:space="preserve">RMN-356PVURBO </t>
  </si>
  <si>
    <t>320 Lts.</t>
  </si>
  <si>
    <t>FRIOSECO C/DISP.</t>
  </si>
  <si>
    <t>RMC-320FAME</t>
  </si>
  <si>
    <t>S/DISP. FRIOSECO</t>
  </si>
  <si>
    <t>RME-1436VAPEO</t>
  </si>
  <si>
    <t xml:space="preserve">PLATA </t>
  </si>
  <si>
    <t xml:space="preserve">360 Lts. </t>
  </si>
  <si>
    <t>C/DISPENSADOR</t>
  </si>
  <si>
    <t>RMP-370GMT C/DISP</t>
  </si>
  <si>
    <t>S/DISPENSADOR</t>
  </si>
  <si>
    <t>RMP-370YMT</t>
  </si>
  <si>
    <t>450 Lts.</t>
  </si>
  <si>
    <t>RMP-450YMT</t>
  </si>
  <si>
    <t>RMP-450GMT</t>
  </si>
  <si>
    <t>LFMA-08100DB01</t>
  </si>
  <si>
    <t>HMM83DBI</t>
  </si>
  <si>
    <t>40 Lts.</t>
  </si>
  <si>
    <t>HMM14SEJCH</t>
  </si>
  <si>
    <t>SECADORA</t>
  </si>
  <si>
    <t>ELECTRICO</t>
  </si>
  <si>
    <t>SEMO10VDCLO</t>
  </si>
  <si>
    <t>SEMO10VBCLO</t>
  </si>
  <si>
    <t>20 Kg.</t>
  </si>
  <si>
    <t>A GAS</t>
  </si>
  <si>
    <t>SMG26N5MNB</t>
  </si>
  <si>
    <t xml:space="preserve">LAVAVAJILLAS </t>
  </si>
  <si>
    <t>14 CUBIERTOS</t>
  </si>
  <si>
    <t>MLV14FSITSSO</t>
  </si>
  <si>
    <t>MADEMSA</t>
  </si>
  <si>
    <t>91 Lts.</t>
  </si>
  <si>
    <t>INVERTIDO</t>
  </si>
  <si>
    <t>MMB-91</t>
  </si>
  <si>
    <t>166 Lts.</t>
  </si>
  <si>
    <t>MED-165B</t>
  </si>
  <si>
    <t>MADEMSA-12SZG</t>
  </si>
  <si>
    <t>MELING</t>
  </si>
  <si>
    <t>MB80-600</t>
  </si>
  <si>
    <t>MB100-600</t>
  </si>
  <si>
    <t>MB120-600</t>
  </si>
  <si>
    <t>MELING-CHIQ</t>
  </si>
  <si>
    <t>87 Lts.</t>
  </si>
  <si>
    <t>MRF-87</t>
  </si>
  <si>
    <t>120 Lts.</t>
  </si>
  <si>
    <t>MRF-120</t>
  </si>
  <si>
    <t>MRF-142</t>
  </si>
  <si>
    <t>213 Lts.</t>
  </si>
  <si>
    <t>MRF-213</t>
  </si>
  <si>
    <t>220 Lts.</t>
  </si>
  <si>
    <t>MRF-220</t>
  </si>
  <si>
    <t>235 Lts.</t>
  </si>
  <si>
    <t>MRF-225</t>
  </si>
  <si>
    <t>MRF-236</t>
  </si>
  <si>
    <t>275 Lts.</t>
  </si>
  <si>
    <t>MRF-275</t>
  </si>
  <si>
    <t>MRF-262</t>
  </si>
  <si>
    <t>265 Lts.</t>
  </si>
  <si>
    <t>MRF-265</t>
  </si>
  <si>
    <t>340 Lts.</t>
  </si>
  <si>
    <t>MRF-340</t>
  </si>
  <si>
    <t>365 Lts.</t>
  </si>
  <si>
    <t>MRF-365</t>
  </si>
  <si>
    <t>435 Lts.</t>
  </si>
  <si>
    <t>MRF-435</t>
  </si>
  <si>
    <t>421 Lts.</t>
  </si>
  <si>
    <t>FRIO SECOINVERTIDO</t>
  </si>
  <si>
    <t>MRF-421</t>
  </si>
  <si>
    <t>150 Lts.</t>
  </si>
  <si>
    <t>FRE-151</t>
  </si>
  <si>
    <t>FRE-201</t>
  </si>
  <si>
    <t>MUELLER</t>
  </si>
  <si>
    <t>NAHIO</t>
  </si>
  <si>
    <t>SOLO DE MUESTRA</t>
  </si>
  <si>
    <t>NH-B260</t>
  </si>
  <si>
    <t>RE-N300D</t>
  </si>
  <si>
    <t>RE-N270D</t>
  </si>
  <si>
    <t>240 Lts.</t>
  </si>
  <si>
    <t>RE-N240D</t>
  </si>
  <si>
    <t>OSTER</t>
  </si>
  <si>
    <t>BOGW3002G</t>
  </si>
  <si>
    <t>GEVERO</t>
  </si>
  <si>
    <t>42 Lts.</t>
  </si>
  <si>
    <t>42 LITROS</t>
  </si>
  <si>
    <t>509 Lts.</t>
  </si>
  <si>
    <t>2 PUERTAS DUAL INT.BCO.</t>
  </si>
  <si>
    <t>OS-BCFH22002WE</t>
  </si>
  <si>
    <t>PANASONIC</t>
  </si>
  <si>
    <t>550 Lts.</t>
  </si>
  <si>
    <t>BT55</t>
  </si>
  <si>
    <t>BT51</t>
  </si>
  <si>
    <t>BT43</t>
  </si>
  <si>
    <t>710 Lts.</t>
  </si>
  <si>
    <t>VITRO FRIOSECO INVERTIDO</t>
  </si>
  <si>
    <t>BB71</t>
  </si>
  <si>
    <t>650 Lts.</t>
  </si>
  <si>
    <t>BB65</t>
  </si>
  <si>
    <t>BB41</t>
  </si>
  <si>
    <t>NA-170H7</t>
  </si>
  <si>
    <t>PREMIUN</t>
  </si>
  <si>
    <t>MESA DE VIDRIO E.IMPACTO</t>
  </si>
  <si>
    <t>B8112</t>
  </si>
  <si>
    <t>SANTA CRUZ</t>
  </si>
  <si>
    <t>3H</t>
  </si>
  <si>
    <t>B8113</t>
  </si>
  <si>
    <t>PRIDE</t>
  </si>
  <si>
    <t>AAPRIDE-24</t>
  </si>
  <si>
    <t>FONDO BLANCO 1 TAPA</t>
  </si>
  <si>
    <t>MD-384CN</t>
  </si>
  <si>
    <t>MD-262CN</t>
  </si>
  <si>
    <t>MD-273</t>
  </si>
  <si>
    <t>SKYWORTH</t>
  </si>
  <si>
    <t>T18L17N</t>
  </si>
  <si>
    <t>QUISBERT</t>
  </si>
  <si>
    <t>STANLEY</t>
  </si>
  <si>
    <t>ASPIRADORA</t>
  </si>
  <si>
    <t>ASP-STPISO</t>
  </si>
  <si>
    <t>ANGEL R.</t>
  </si>
  <si>
    <t>SMATR HOME</t>
  </si>
  <si>
    <t>INDUCCION</t>
  </si>
  <si>
    <t>SR-82V</t>
  </si>
  <si>
    <t>RHEEM</t>
  </si>
  <si>
    <t>CALEFON</t>
  </si>
  <si>
    <t>GLP</t>
  </si>
  <si>
    <t>16 Lts.</t>
  </si>
  <si>
    <t xml:space="preserve">GLP </t>
  </si>
  <si>
    <t>DTST-FIS16</t>
  </si>
  <si>
    <t>STARLUX</t>
  </si>
  <si>
    <t>DIGITAL</t>
  </si>
  <si>
    <t>2 MOTORES 3 VEL. DIGITAL</t>
  </si>
  <si>
    <t>STEX11G</t>
  </si>
  <si>
    <t>STEX12G</t>
  </si>
  <si>
    <t>STEX13G</t>
  </si>
  <si>
    <t>STEX21G</t>
  </si>
  <si>
    <t>STEX22IG</t>
  </si>
  <si>
    <t>STEX23IG</t>
  </si>
  <si>
    <t>MESA  VITROCERAMICA</t>
  </si>
  <si>
    <t>CM01-7210</t>
  </si>
  <si>
    <t>CM01-7310</t>
  </si>
  <si>
    <t>STC50-B2 MILAN</t>
  </si>
  <si>
    <t>INO</t>
  </si>
  <si>
    <t>M. INOX ,EE,LUZ</t>
  </si>
  <si>
    <t>STC50-B1 PALERMO</t>
  </si>
  <si>
    <t>M.INOX ,SPIEDO,EE,L,GRILL</t>
  </si>
  <si>
    <t>STC50-02 PLATA</t>
  </si>
  <si>
    <t>STSC50-D1 TAJIBO</t>
  </si>
  <si>
    <t>STC60-01 RECIFE</t>
  </si>
  <si>
    <t>STC76-B</t>
  </si>
  <si>
    <t>TCL</t>
  </si>
  <si>
    <t>18 MIL BTU</t>
  </si>
  <si>
    <t>18CHSA</t>
  </si>
  <si>
    <t>24CHSA</t>
  </si>
  <si>
    <t>F319LTG</t>
  </si>
  <si>
    <t>1 TAPAS INTERIOR BLANCO</t>
  </si>
  <si>
    <t>F430CF</t>
  </si>
  <si>
    <t>MARKAS</t>
  </si>
  <si>
    <t>F130TMC</t>
  </si>
  <si>
    <t>P280TMG</t>
  </si>
  <si>
    <t>P320BFG</t>
  </si>
  <si>
    <t>P425TMG</t>
  </si>
  <si>
    <t>MULTIDOOR FRIO SECO</t>
  </si>
  <si>
    <t>P470CDG</t>
  </si>
  <si>
    <t>MARCAS</t>
  </si>
  <si>
    <t>TRAMONTINA</t>
  </si>
  <si>
    <t xml:space="preserve">94867/225 </t>
  </si>
  <si>
    <t>QUEVEDO</t>
  </si>
  <si>
    <t>CTRA-4H</t>
  </si>
  <si>
    <t>1H</t>
  </si>
  <si>
    <t>BRASIL5GG  70 cm.</t>
  </si>
  <si>
    <t>CTRA-1H</t>
  </si>
  <si>
    <t xml:space="preserve">94708/501 </t>
  </si>
  <si>
    <t>WEST POINT</t>
  </si>
  <si>
    <t>168 Lts.</t>
  </si>
  <si>
    <t>WPX-2017ETR</t>
  </si>
  <si>
    <t>WHIRLPOOL</t>
  </si>
  <si>
    <t>WLF-902B25F</t>
  </si>
  <si>
    <t>10,5/7 Kg.</t>
  </si>
  <si>
    <t>WCF-10BF25Z</t>
  </si>
  <si>
    <t xml:space="preserve">WWI-12AW9LS </t>
  </si>
  <si>
    <t xml:space="preserve">20 Lts. </t>
  </si>
  <si>
    <t>WMS-20BZIM</t>
  </si>
  <si>
    <t>C/GRILL</t>
  </si>
  <si>
    <t>WMS-20GS</t>
  </si>
  <si>
    <t>WMG-30SB25F</t>
  </si>
  <si>
    <t>WIN STAR</t>
  </si>
  <si>
    <t>MESA INOX E.E,LUZ,GRILL</t>
  </si>
  <si>
    <t>LISBOA</t>
  </si>
  <si>
    <t>CRYSER SRL</t>
  </si>
  <si>
    <t xml:space="preserve">WINSTART-8004SH </t>
  </si>
  <si>
    <t xml:space="preserve">WINSTART-9004SH </t>
  </si>
  <si>
    <t>VITROCER,E.E.</t>
  </si>
  <si>
    <t>CWIN-5HEVN</t>
  </si>
  <si>
    <t>W.WESTINGHOUSE</t>
  </si>
  <si>
    <t>14 MIL BTU</t>
  </si>
  <si>
    <t>PORTATIL,WI FI.CONTROL</t>
  </si>
  <si>
    <t>WW-14CHPA</t>
  </si>
  <si>
    <t>WW-EM720C</t>
  </si>
  <si>
    <t xml:space="preserve">25 Lts. </t>
  </si>
  <si>
    <t>WW-EG9PO2</t>
  </si>
  <si>
    <t xml:space="preserve">2 PUERTAS </t>
  </si>
  <si>
    <t>FRIOS SECO</t>
  </si>
  <si>
    <t>WW-HD559FWEN</t>
  </si>
  <si>
    <t>416 Lts.</t>
  </si>
  <si>
    <t>FRIO SECO,INVERTIDO</t>
  </si>
  <si>
    <t>WW-HD572RWEN</t>
  </si>
  <si>
    <t>511 Lts.</t>
  </si>
  <si>
    <t>WW-HD663FWE</t>
  </si>
  <si>
    <t>491 Lts.</t>
  </si>
  <si>
    <t>SBS,FRIO SECO</t>
  </si>
  <si>
    <t>WH-C660WH</t>
  </si>
  <si>
    <t>93 Lts.</t>
  </si>
  <si>
    <t>WW-121LN</t>
  </si>
  <si>
    <t>100 Lts.</t>
  </si>
  <si>
    <t>1 TAPA DUAL INT.BLANCO</t>
  </si>
  <si>
    <t>WW-HS-131CN</t>
  </si>
  <si>
    <t>WWMAV-180</t>
  </si>
  <si>
    <t>DE ROPA</t>
  </si>
  <si>
    <t>16 KG</t>
  </si>
  <si>
    <t>MOTOR CORREA</t>
  </si>
  <si>
    <t>16KL-MDD160</t>
  </si>
  <si>
    <t>VINERA</t>
  </si>
  <si>
    <t>24 BOT.</t>
  </si>
  <si>
    <t>1 PUERTA VIDRIO DIGITAL</t>
  </si>
  <si>
    <t>WW-HS86WN</t>
  </si>
  <si>
    <t>Bs.</t>
  </si>
  <si>
    <t xml:space="preserve">URK </t>
  </si>
  <si>
    <t>E.ARCE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</si>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</sst>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/>
    <xf numFmtId="0" fontId="8" fillId="3" borderId="1" xfId="0" applyFont="1" applyFill="1" applyBorder="1"/>
    <xf numFmtId="0" fontId="4" fillId="3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8" fillId="5" borderId="1" xfId="0" applyFont="1" applyFill="1" applyBorder="1"/>
    <xf numFmtId="0" fontId="4" fillId="5" borderId="1" xfId="0" applyFont="1" applyFill="1" applyBorder="1"/>
    <xf numFmtId="0" fontId="8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/>
    <xf numFmtId="0" fontId="9" fillId="3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8" fillId="6" borderId="1" xfId="0" applyFont="1" applyFill="1" applyBorder="1"/>
    <xf numFmtId="0" fontId="4" fillId="6" borderId="1" xfId="0" applyFont="1" applyFill="1" applyBorder="1"/>
    <xf numFmtId="0" fontId="8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/>
    <xf numFmtId="164" fontId="8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0" fillId="5" borderId="0" xfId="0" applyFill="1"/>
    <xf numFmtId="0" fontId="1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164" fontId="2" fillId="5" borderId="0" xfId="0" applyNumberFormat="1" applyFont="1" applyFill="1" applyBorder="1"/>
    <xf numFmtId="0" fontId="2" fillId="5" borderId="0" xfId="0" applyFont="1" applyFill="1" applyBorder="1"/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wrapText="1"/>
    </xf>
    <xf numFmtId="1" fontId="8" fillId="4" borderId="1" xfId="0" applyNumberFormat="1" applyFont="1" applyFill="1" applyBorder="1" applyAlignment="1">
      <alignment horizontal="center"/>
    </xf>
    <xf numFmtId="1" fontId="2" fillId="5" borderId="0" xfId="0" applyNumberFormat="1" applyFont="1" applyFill="1" applyBorder="1" applyAlignment="1">
      <alignment horizontal="center"/>
    </xf>
    <xf numFmtId="1" fontId="0" fillId="0" borderId="0" xfId="0" applyNumberFormat="1"/>
    <xf numFmtId="1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4593-200D-47B5-AC29-3C36E5DD1E1A}">
  <sheetPr>
    <tabColor rgb="FFFFFF00"/>
  </sheetPr>
  <dimension ref="A1:U335"/>
  <sheetViews>
    <sheetView tabSelected="1" topLeftCell="B1" workbookViewId="0">
      <pane ySplit="1" topLeftCell="A2" activePane="bottomLeft" state="frozen"/>
      <selection pane="bottomLeft" activeCell="Q1" sqref="Q1"/>
    </sheetView>
  </sheetViews>
  <sheetFormatPr baseColWidth="10" defaultRowHeight="15" x14ac:dyDescent="0.25"/>
  <cols>
    <col min="1" max="1" width="16.5703125" customWidth="1"/>
    <col min="2" max="2" width="18" customWidth="1"/>
    <col min="3" max="3" width="14.85546875" customWidth="1"/>
    <col min="5" max="5" width="23.42578125" customWidth="1"/>
    <col min="6" max="6" width="19" customWidth="1"/>
    <col min="7" max="7" width="8.42578125" customWidth="1"/>
    <col min="8" max="8" width="7" customWidth="1"/>
    <col min="9" max="9" width="5.140625" customWidth="1"/>
    <col min="10" max="10" width="6.140625" customWidth="1"/>
    <col min="11" max="11" width="6.7109375" style="55" customWidth="1"/>
    <col min="12" max="12" width="7.42578125" customWidth="1"/>
    <col min="13" max="13" width="5.7109375" customWidth="1"/>
    <col min="14" max="14" width="6" customWidth="1"/>
    <col min="15" max="15" width="5.7109375" customWidth="1"/>
    <col min="16" max="16" width="5.5703125" customWidth="1"/>
    <col min="17" max="18" width="5.7109375" customWidth="1"/>
    <col min="19" max="19" width="5.85546875" customWidth="1"/>
    <col min="20" max="20" width="6.140625" customWidth="1"/>
  </cols>
  <sheetData>
    <row r="1" spans="1:21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52" t="s">
        <v>10</v>
      </c>
      <c r="L1" s="4" t="s">
        <v>728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727</v>
      </c>
      <c r="R1" s="5" t="s">
        <v>726</v>
      </c>
      <c r="S1" s="5" t="s">
        <v>15</v>
      </c>
      <c r="T1" s="5" t="s">
        <v>16</v>
      </c>
      <c r="U1" s="5" t="s">
        <v>17</v>
      </c>
    </row>
    <row r="2" spans="1:21" x14ac:dyDescent="0.25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7" t="s">
        <v>24</v>
      </c>
      <c r="H2" s="9">
        <v>3500</v>
      </c>
      <c r="I2" s="56">
        <f>+(H2*0.75%)</f>
        <v>26.25</v>
      </c>
      <c r="J2" s="11">
        <f>+H2+I2</f>
        <v>3526.25</v>
      </c>
      <c r="K2" s="53">
        <f>+((H2*6%)+H2)</f>
        <v>3710</v>
      </c>
      <c r="L2" s="13">
        <f t="shared" ref="L2:L67" si="0">+K2-J2-M2</f>
        <v>153.75</v>
      </c>
      <c r="M2" s="14">
        <v>30</v>
      </c>
      <c r="N2" s="15">
        <v>0</v>
      </c>
      <c r="O2" s="15">
        <v>0</v>
      </c>
      <c r="P2" s="15">
        <v>1</v>
      </c>
      <c r="Q2" s="15"/>
      <c r="R2" s="16">
        <v>0</v>
      </c>
      <c r="S2" s="15">
        <v>3</v>
      </c>
      <c r="T2" s="16">
        <f>+N2+O2+P2+R2+S2</f>
        <v>4</v>
      </c>
      <c r="U2" s="17" t="s">
        <v>25</v>
      </c>
    </row>
    <row r="3" spans="1:21" x14ac:dyDescent="0.25">
      <c r="A3" s="7" t="s">
        <v>18</v>
      </c>
      <c r="B3" s="7" t="s">
        <v>19</v>
      </c>
      <c r="C3" s="7" t="s">
        <v>20</v>
      </c>
      <c r="D3" s="7" t="s">
        <v>26</v>
      </c>
      <c r="E3" s="8" t="s">
        <v>22</v>
      </c>
      <c r="F3" s="7" t="s">
        <v>27</v>
      </c>
      <c r="G3" s="7" t="s">
        <v>24</v>
      </c>
      <c r="H3" s="9">
        <v>4200</v>
      </c>
      <c r="I3" s="56">
        <f t="shared" ref="I3:I66" si="1">+(H3*0.75%)</f>
        <v>31.5</v>
      </c>
      <c r="J3" s="11">
        <f t="shared" ref="J3:J71" si="2">+H3+I3</f>
        <v>4231.5</v>
      </c>
      <c r="K3" s="53">
        <f t="shared" ref="K3:K66" si="3">+((H3*6%)+H3)</f>
        <v>4452</v>
      </c>
      <c r="L3" s="13">
        <f t="shared" si="0"/>
        <v>190.5</v>
      </c>
      <c r="M3" s="14">
        <v>30</v>
      </c>
      <c r="N3" s="15">
        <v>1</v>
      </c>
      <c r="O3" s="15">
        <v>0</v>
      </c>
      <c r="P3" s="15">
        <v>0</v>
      </c>
      <c r="Q3" s="15"/>
      <c r="R3" s="16">
        <v>0</v>
      </c>
      <c r="S3" s="15">
        <v>10</v>
      </c>
      <c r="T3" s="16">
        <f>+N3+O3+P3+R3+S3</f>
        <v>11</v>
      </c>
      <c r="U3" s="17" t="s">
        <v>25</v>
      </c>
    </row>
    <row r="4" spans="1:21" x14ac:dyDescent="0.25">
      <c r="A4" s="18" t="s">
        <v>18</v>
      </c>
      <c r="B4" s="18" t="s">
        <v>19</v>
      </c>
      <c r="C4" s="18" t="s">
        <v>28</v>
      </c>
      <c r="D4" s="18" t="s">
        <v>21</v>
      </c>
      <c r="E4" s="19" t="s">
        <v>29</v>
      </c>
      <c r="F4" s="18" t="s">
        <v>30</v>
      </c>
      <c r="G4" s="18" t="s">
        <v>24</v>
      </c>
      <c r="H4" s="9">
        <v>525</v>
      </c>
      <c r="I4" s="56">
        <f t="shared" si="1"/>
        <v>3.9375</v>
      </c>
      <c r="J4" s="21">
        <f t="shared" si="2"/>
        <v>528.9375</v>
      </c>
      <c r="K4" s="53">
        <v>600</v>
      </c>
      <c r="L4" s="22">
        <f t="shared" si="0"/>
        <v>61.0625</v>
      </c>
      <c r="M4" s="16">
        <v>10</v>
      </c>
      <c r="N4" s="15">
        <v>0</v>
      </c>
      <c r="O4" s="15">
        <v>0</v>
      </c>
      <c r="P4" s="15">
        <v>1</v>
      </c>
      <c r="Q4" s="15"/>
      <c r="R4" s="16">
        <v>0</v>
      </c>
      <c r="S4" s="15">
        <v>2</v>
      </c>
      <c r="T4" s="16">
        <f>+N4+O4+P4+R4+S4</f>
        <v>3</v>
      </c>
      <c r="U4" s="17" t="s">
        <v>25</v>
      </c>
    </row>
    <row r="5" spans="1:21" x14ac:dyDescent="0.25">
      <c r="A5" s="18" t="s">
        <v>18</v>
      </c>
      <c r="B5" s="18" t="s">
        <v>19</v>
      </c>
      <c r="C5" s="18" t="s">
        <v>28</v>
      </c>
      <c r="D5" s="18" t="s">
        <v>21</v>
      </c>
      <c r="E5" s="19" t="s">
        <v>31</v>
      </c>
      <c r="F5" s="18" t="s">
        <v>32</v>
      </c>
      <c r="G5" s="18" t="s">
        <v>24</v>
      </c>
      <c r="H5" s="9">
        <v>455</v>
      </c>
      <c r="I5" s="56">
        <f t="shared" si="1"/>
        <v>3.4125000000000001</v>
      </c>
      <c r="J5" s="21">
        <f t="shared" si="2"/>
        <v>458.41250000000002</v>
      </c>
      <c r="K5" s="53">
        <v>500</v>
      </c>
      <c r="L5" s="22">
        <f t="shared" si="0"/>
        <v>31.587499999999977</v>
      </c>
      <c r="M5" s="16">
        <v>10</v>
      </c>
      <c r="N5" s="15">
        <v>0</v>
      </c>
      <c r="O5" s="15">
        <v>0</v>
      </c>
      <c r="P5" s="15">
        <v>1</v>
      </c>
      <c r="Q5" s="15"/>
      <c r="R5" s="16">
        <v>0</v>
      </c>
      <c r="S5" s="15">
        <v>2</v>
      </c>
      <c r="T5" s="16">
        <f>+N5+O5+P5+R5+S5</f>
        <v>3</v>
      </c>
      <c r="U5" s="17" t="s">
        <v>25</v>
      </c>
    </row>
    <row r="6" spans="1:21" x14ac:dyDescent="0.25">
      <c r="A6" s="18" t="s">
        <v>18</v>
      </c>
      <c r="B6" s="18" t="s">
        <v>19</v>
      </c>
      <c r="C6" s="18" t="s">
        <v>28</v>
      </c>
      <c r="D6" s="18" t="s">
        <v>33</v>
      </c>
      <c r="E6" s="19" t="s">
        <v>34</v>
      </c>
      <c r="F6" s="18" t="s">
        <v>35</v>
      </c>
      <c r="G6" s="18" t="s">
        <v>24</v>
      </c>
      <c r="H6" s="9">
        <v>245</v>
      </c>
      <c r="I6" s="56">
        <f t="shared" si="1"/>
        <v>1.8374999999999999</v>
      </c>
      <c r="J6" s="21">
        <f t="shared" si="2"/>
        <v>246.83750000000001</v>
      </c>
      <c r="K6" s="53">
        <v>300</v>
      </c>
      <c r="L6" s="22">
        <f t="shared" si="0"/>
        <v>43.162499999999994</v>
      </c>
      <c r="M6" s="16">
        <v>10</v>
      </c>
      <c r="N6" s="15">
        <v>1</v>
      </c>
      <c r="O6" s="15">
        <v>0</v>
      </c>
      <c r="P6" s="15">
        <v>1</v>
      </c>
      <c r="Q6" s="15"/>
      <c r="R6" s="16">
        <v>0</v>
      </c>
      <c r="S6" s="15">
        <v>7</v>
      </c>
      <c r="T6" s="16">
        <f>+N6+O6+P6+R6+S6</f>
        <v>9</v>
      </c>
      <c r="U6" s="17" t="s">
        <v>25</v>
      </c>
    </row>
    <row r="7" spans="1:21" x14ac:dyDescent="0.25">
      <c r="A7" s="18" t="s">
        <v>36</v>
      </c>
      <c r="B7" s="18" t="s">
        <v>19</v>
      </c>
      <c r="C7" s="18" t="s">
        <v>28</v>
      </c>
      <c r="D7" s="18" t="s">
        <v>21</v>
      </c>
      <c r="E7" s="19" t="s">
        <v>37</v>
      </c>
      <c r="F7" s="18" t="s">
        <v>38</v>
      </c>
      <c r="G7" s="18" t="s">
        <v>39</v>
      </c>
      <c r="H7" s="9">
        <v>350</v>
      </c>
      <c r="I7" s="56">
        <f t="shared" si="1"/>
        <v>2.625</v>
      </c>
      <c r="J7" s="21">
        <f t="shared" si="2"/>
        <v>352.625</v>
      </c>
      <c r="K7" s="53">
        <v>400</v>
      </c>
      <c r="L7" s="22">
        <f t="shared" si="0"/>
        <v>37.375</v>
      </c>
      <c r="M7" s="16">
        <v>10</v>
      </c>
      <c r="N7" s="15">
        <v>1</v>
      </c>
      <c r="O7" s="15">
        <v>0</v>
      </c>
      <c r="P7" s="15">
        <v>0</v>
      </c>
      <c r="Q7" s="15"/>
      <c r="R7" s="16">
        <v>0</v>
      </c>
      <c r="S7" s="15">
        <v>2</v>
      </c>
      <c r="T7" s="16">
        <f>+N7+O7+P7+R7+S7</f>
        <v>3</v>
      </c>
      <c r="U7" s="17" t="s">
        <v>25</v>
      </c>
    </row>
    <row r="8" spans="1:21" x14ac:dyDescent="0.25">
      <c r="A8" s="18" t="s">
        <v>40</v>
      </c>
      <c r="B8" s="18" t="s">
        <v>41</v>
      </c>
      <c r="C8" s="18" t="s">
        <v>42</v>
      </c>
      <c r="D8" s="18" t="s">
        <v>43</v>
      </c>
      <c r="E8" s="19" t="s">
        <v>44</v>
      </c>
      <c r="F8" s="18" t="s">
        <v>45</v>
      </c>
      <c r="G8" s="18" t="s">
        <v>39</v>
      </c>
      <c r="H8" s="9">
        <v>500</v>
      </c>
      <c r="I8" s="56">
        <f t="shared" si="1"/>
        <v>3.75</v>
      </c>
      <c r="J8" s="21">
        <f t="shared" si="2"/>
        <v>503.75</v>
      </c>
      <c r="K8" s="53">
        <f t="shared" si="3"/>
        <v>530</v>
      </c>
      <c r="L8" s="22">
        <f t="shared" si="0"/>
        <v>16.25</v>
      </c>
      <c r="M8" s="16">
        <v>10</v>
      </c>
      <c r="N8" s="15">
        <v>1</v>
      </c>
      <c r="O8" s="15">
        <v>0</v>
      </c>
      <c r="P8" s="15">
        <v>0</v>
      </c>
      <c r="Q8" s="15"/>
      <c r="R8" s="16">
        <v>0</v>
      </c>
      <c r="S8" s="15">
        <v>25</v>
      </c>
      <c r="T8" s="16">
        <f>+N8+O8+P8+R8+S8</f>
        <v>26</v>
      </c>
      <c r="U8" s="17" t="s">
        <v>25</v>
      </c>
    </row>
    <row r="9" spans="1:21" x14ac:dyDescent="0.25">
      <c r="A9" s="7" t="s">
        <v>46</v>
      </c>
      <c r="B9" s="7" t="s">
        <v>47</v>
      </c>
      <c r="C9" s="7" t="s">
        <v>48</v>
      </c>
      <c r="D9" s="7" t="s">
        <v>49</v>
      </c>
      <c r="E9" s="8" t="s">
        <v>50</v>
      </c>
      <c r="F9" s="7" t="s">
        <v>51</v>
      </c>
      <c r="G9" s="7" t="s">
        <v>24</v>
      </c>
      <c r="H9" s="9">
        <v>3300</v>
      </c>
      <c r="I9" s="56">
        <f t="shared" si="1"/>
        <v>24.75</v>
      </c>
      <c r="J9" s="11">
        <f t="shared" si="2"/>
        <v>3324.75</v>
      </c>
      <c r="K9" s="53">
        <f t="shared" si="3"/>
        <v>3498</v>
      </c>
      <c r="L9" s="13">
        <f t="shared" si="0"/>
        <v>123.25</v>
      </c>
      <c r="M9" s="14">
        <v>50</v>
      </c>
      <c r="N9" s="15">
        <v>0</v>
      </c>
      <c r="O9" s="15">
        <v>0</v>
      </c>
      <c r="P9" s="15">
        <v>1</v>
      </c>
      <c r="Q9" s="15"/>
      <c r="R9" s="16">
        <v>0</v>
      </c>
      <c r="S9" s="15">
        <v>1</v>
      </c>
      <c r="T9" s="16">
        <f>+N9+O9+P9+R9+S9</f>
        <v>2</v>
      </c>
      <c r="U9" s="17" t="s">
        <v>25</v>
      </c>
    </row>
    <row r="10" spans="1:21" x14ac:dyDescent="0.25">
      <c r="A10" s="18" t="s">
        <v>46</v>
      </c>
      <c r="B10" s="18" t="s">
        <v>52</v>
      </c>
      <c r="C10" s="18" t="s">
        <v>53</v>
      </c>
      <c r="D10" s="18" t="s">
        <v>54</v>
      </c>
      <c r="E10" s="19" t="s">
        <v>55</v>
      </c>
      <c r="F10" s="18" t="s">
        <v>56</v>
      </c>
      <c r="G10" s="18" t="s">
        <v>57</v>
      </c>
      <c r="H10" s="9">
        <v>550</v>
      </c>
      <c r="I10" s="56">
        <f t="shared" si="1"/>
        <v>4.125</v>
      </c>
      <c r="J10" s="21">
        <f t="shared" si="2"/>
        <v>554.125</v>
      </c>
      <c r="K10" s="53">
        <v>600</v>
      </c>
      <c r="L10" s="22">
        <f t="shared" si="0"/>
        <v>25.875</v>
      </c>
      <c r="M10" s="16">
        <v>20</v>
      </c>
      <c r="N10" s="15">
        <v>1</v>
      </c>
      <c r="O10" s="15">
        <v>0</v>
      </c>
      <c r="P10" s="15">
        <v>0</v>
      </c>
      <c r="Q10" s="15"/>
      <c r="R10" s="16">
        <v>0</v>
      </c>
      <c r="S10" s="15">
        <v>0</v>
      </c>
      <c r="T10" s="16">
        <f>+N10+O10+P10+R10+S10</f>
        <v>1</v>
      </c>
      <c r="U10" s="17" t="s">
        <v>25</v>
      </c>
    </row>
    <row r="11" spans="1:21" x14ac:dyDescent="0.25">
      <c r="A11" s="18" t="s">
        <v>58</v>
      </c>
      <c r="B11" s="18" t="s">
        <v>19</v>
      </c>
      <c r="C11" s="18" t="s">
        <v>28</v>
      </c>
      <c r="D11" s="18" t="s">
        <v>33</v>
      </c>
      <c r="E11" s="19" t="s">
        <v>59</v>
      </c>
      <c r="F11" s="18" t="s">
        <v>60</v>
      </c>
      <c r="G11" s="18" t="s">
        <v>39</v>
      </c>
      <c r="H11" s="9">
        <v>245</v>
      </c>
      <c r="I11" s="56">
        <f t="shared" si="1"/>
        <v>1.8374999999999999</v>
      </c>
      <c r="J11" s="21">
        <f t="shared" si="2"/>
        <v>246.83750000000001</v>
      </c>
      <c r="K11" s="53">
        <v>300</v>
      </c>
      <c r="L11" s="22">
        <f t="shared" si="0"/>
        <v>43.162499999999994</v>
      </c>
      <c r="M11" s="16">
        <v>10</v>
      </c>
      <c r="N11" s="15">
        <v>1</v>
      </c>
      <c r="O11" s="15">
        <v>0</v>
      </c>
      <c r="P11" s="15">
        <v>1</v>
      </c>
      <c r="Q11" s="15"/>
      <c r="R11" s="16">
        <v>0</v>
      </c>
      <c r="S11" s="15">
        <v>3</v>
      </c>
      <c r="T11" s="16">
        <f>+N11+O11+P11+R11+S11</f>
        <v>5</v>
      </c>
      <c r="U11" s="17" t="s">
        <v>61</v>
      </c>
    </row>
    <row r="12" spans="1:21" x14ac:dyDescent="0.25">
      <c r="A12" s="18" t="s">
        <v>62</v>
      </c>
      <c r="B12" s="18" t="s">
        <v>63</v>
      </c>
      <c r="C12" s="18" t="s">
        <v>64</v>
      </c>
      <c r="D12" s="18" t="s">
        <v>65</v>
      </c>
      <c r="E12" s="19" t="s">
        <v>66</v>
      </c>
      <c r="F12" s="18" t="s">
        <v>67</v>
      </c>
      <c r="G12" s="18" t="s">
        <v>39</v>
      </c>
      <c r="H12" s="9">
        <v>4531</v>
      </c>
      <c r="I12" s="56">
        <f t="shared" si="1"/>
        <v>33.982500000000002</v>
      </c>
      <c r="J12" s="21">
        <f t="shared" si="2"/>
        <v>4564.9825000000001</v>
      </c>
      <c r="K12" s="53">
        <f t="shared" si="3"/>
        <v>4802.8599999999997</v>
      </c>
      <c r="L12" s="22">
        <f t="shared" si="0"/>
        <v>187.8774999999996</v>
      </c>
      <c r="M12" s="16">
        <v>50</v>
      </c>
      <c r="N12" s="15">
        <v>1</v>
      </c>
      <c r="O12" s="15">
        <v>0</v>
      </c>
      <c r="P12" s="15">
        <v>0</v>
      </c>
      <c r="Q12" s="15"/>
      <c r="R12" s="16">
        <v>0</v>
      </c>
      <c r="S12" s="15">
        <v>1</v>
      </c>
      <c r="T12" s="16">
        <f>+N12+O12+P12+R12+S12</f>
        <v>2</v>
      </c>
      <c r="U12" s="17" t="s">
        <v>68</v>
      </c>
    </row>
    <row r="13" spans="1:21" x14ac:dyDescent="0.25">
      <c r="A13" s="18" t="s">
        <v>62</v>
      </c>
      <c r="B13" s="18" t="s">
        <v>63</v>
      </c>
      <c r="C13" s="18" t="s">
        <v>64</v>
      </c>
      <c r="D13" s="18" t="s">
        <v>69</v>
      </c>
      <c r="E13" s="19" t="s">
        <v>66</v>
      </c>
      <c r="F13" s="18" t="s">
        <v>70</v>
      </c>
      <c r="G13" s="18" t="s">
        <v>39</v>
      </c>
      <c r="H13" s="9">
        <v>4956</v>
      </c>
      <c r="I13" s="56">
        <f t="shared" si="1"/>
        <v>37.17</v>
      </c>
      <c r="J13" s="21">
        <f t="shared" si="2"/>
        <v>4993.17</v>
      </c>
      <c r="K13" s="53">
        <f t="shared" si="3"/>
        <v>5253.36</v>
      </c>
      <c r="L13" s="22">
        <f t="shared" si="0"/>
        <v>210.1899999999996</v>
      </c>
      <c r="M13" s="20">
        <v>50</v>
      </c>
      <c r="N13" s="12">
        <v>1</v>
      </c>
      <c r="O13" s="12">
        <v>0</v>
      </c>
      <c r="P13" s="12">
        <v>0</v>
      </c>
      <c r="Q13" s="12"/>
      <c r="R13" s="20">
        <v>0</v>
      </c>
      <c r="S13" s="12">
        <v>2</v>
      </c>
      <c r="T13" s="16">
        <f>+N13+O13+P13+R13+S13</f>
        <v>3</v>
      </c>
      <c r="U13" s="17" t="s">
        <v>68</v>
      </c>
    </row>
    <row r="14" spans="1:21" x14ac:dyDescent="0.25">
      <c r="A14" s="7" t="s">
        <v>62</v>
      </c>
      <c r="B14" s="7" t="s">
        <v>63</v>
      </c>
      <c r="C14" s="7" t="s">
        <v>64</v>
      </c>
      <c r="D14" s="7" t="s">
        <v>71</v>
      </c>
      <c r="E14" s="8" t="s">
        <v>66</v>
      </c>
      <c r="F14" s="7" t="s">
        <v>72</v>
      </c>
      <c r="G14" s="7" t="s">
        <v>39</v>
      </c>
      <c r="H14" s="9">
        <v>5664</v>
      </c>
      <c r="I14" s="56">
        <f t="shared" si="1"/>
        <v>42.48</v>
      </c>
      <c r="J14" s="11">
        <f t="shared" si="2"/>
        <v>5706.48</v>
      </c>
      <c r="K14" s="53">
        <f t="shared" si="3"/>
        <v>6003.84</v>
      </c>
      <c r="L14" s="13">
        <f t="shared" si="0"/>
        <v>247.36000000000058</v>
      </c>
      <c r="M14" s="10">
        <v>50</v>
      </c>
      <c r="N14" s="12">
        <v>1</v>
      </c>
      <c r="O14" s="12">
        <v>0</v>
      </c>
      <c r="P14" s="12">
        <v>1</v>
      </c>
      <c r="Q14" s="12"/>
      <c r="R14" s="20">
        <v>0</v>
      </c>
      <c r="S14" s="12">
        <v>6</v>
      </c>
      <c r="T14" s="16">
        <f>+N14+O14+P14+R14+S14</f>
        <v>8</v>
      </c>
      <c r="U14" s="17" t="s">
        <v>68</v>
      </c>
    </row>
    <row r="15" spans="1:21" x14ac:dyDescent="0.25">
      <c r="A15" s="7" t="s">
        <v>62</v>
      </c>
      <c r="B15" s="7" t="s">
        <v>63</v>
      </c>
      <c r="C15" s="7" t="s">
        <v>64</v>
      </c>
      <c r="D15" s="7" t="s">
        <v>73</v>
      </c>
      <c r="E15" s="8" t="s">
        <v>66</v>
      </c>
      <c r="F15" s="7" t="s">
        <v>74</v>
      </c>
      <c r="G15" s="7" t="s">
        <v>39</v>
      </c>
      <c r="H15" s="9">
        <v>6443</v>
      </c>
      <c r="I15" s="56">
        <f t="shared" si="1"/>
        <v>48.322499999999998</v>
      </c>
      <c r="J15" s="11">
        <f t="shared" si="2"/>
        <v>6491.3225000000002</v>
      </c>
      <c r="K15" s="53">
        <f t="shared" si="3"/>
        <v>6829.58</v>
      </c>
      <c r="L15" s="13">
        <f t="shared" si="0"/>
        <v>288.25749999999971</v>
      </c>
      <c r="M15" s="10">
        <v>50</v>
      </c>
      <c r="N15" s="12">
        <v>1</v>
      </c>
      <c r="O15" s="12">
        <v>0</v>
      </c>
      <c r="P15" s="12">
        <v>0</v>
      </c>
      <c r="Q15" s="12"/>
      <c r="R15" s="20">
        <v>0</v>
      </c>
      <c r="S15" s="12">
        <v>3</v>
      </c>
      <c r="T15" s="16">
        <f>+N15+O15+P15+R15+S15</f>
        <v>4</v>
      </c>
      <c r="U15" s="17" t="s">
        <v>68</v>
      </c>
    </row>
    <row r="16" spans="1:21" x14ac:dyDescent="0.25">
      <c r="A16" s="18" t="s">
        <v>62</v>
      </c>
      <c r="B16" s="18" t="s">
        <v>63</v>
      </c>
      <c r="C16" s="18" t="s">
        <v>75</v>
      </c>
      <c r="D16" s="18" t="s">
        <v>76</v>
      </c>
      <c r="E16" s="19" t="s">
        <v>66</v>
      </c>
      <c r="F16" s="18" t="s">
        <v>77</v>
      </c>
      <c r="G16" s="18" t="s">
        <v>39</v>
      </c>
      <c r="H16" s="9">
        <v>5522</v>
      </c>
      <c r="I16" s="56">
        <f t="shared" si="1"/>
        <v>41.414999999999999</v>
      </c>
      <c r="J16" s="21">
        <f t="shared" si="2"/>
        <v>5563.415</v>
      </c>
      <c r="K16" s="53">
        <f t="shared" si="3"/>
        <v>5853.32</v>
      </c>
      <c r="L16" s="22">
        <f t="shared" si="0"/>
        <v>239.90499999999975</v>
      </c>
      <c r="M16" s="20">
        <v>50</v>
      </c>
      <c r="N16" s="12">
        <v>0</v>
      </c>
      <c r="O16" s="12">
        <v>0</v>
      </c>
      <c r="P16" s="12">
        <v>0</v>
      </c>
      <c r="Q16" s="12"/>
      <c r="R16" s="20">
        <v>0</v>
      </c>
      <c r="S16" s="12">
        <v>0</v>
      </c>
      <c r="T16" s="16">
        <f>+N16+O16+P16+R16+S16</f>
        <v>0</v>
      </c>
      <c r="U16" s="17" t="s">
        <v>68</v>
      </c>
    </row>
    <row r="17" spans="1:21" x14ac:dyDescent="0.25">
      <c r="A17" s="18" t="s">
        <v>62</v>
      </c>
      <c r="B17" s="18" t="s">
        <v>78</v>
      </c>
      <c r="C17" s="18" t="s">
        <v>79</v>
      </c>
      <c r="D17" s="18" t="s">
        <v>80</v>
      </c>
      <c r="E17" s="19" t="s">
        <v>81</v>
      </c>
      <c r="F17" s="18" t="s">
        <v>82</v>
      </c>
      <c r="G17" s="18" t="s">
        <v>39</v>
      </c>
      <c r="H17" s="9">
        <v>4248</v>
      </c>
      <c r="I17" s="56">
        <f t="shared" si="1"/>
        <v>31.86</v>
      </c>
      <c r="J17" s="21">
        <f t="shared" si="2"/>
        <v>4279.8599999999997</v>
      </c>
      <c r="K17" s="53">
        <f t="shared" si="3"/>
        <v>4502.88</v>
      </c>
      <c r="L17" s="22">
        <f t="shared" si="0"/>
        <v>173.02000000000044</v>
      </c>
      <c r="M17" s="20">
        <v>50</v>
      </c>
      <c r="N17" s="12">
        <v>0</v>
      </c>
      <c r="O17" s="12">
        <v>0</v>
      </c>
      <c r="P17" s="12">
        <v>0</v>
      </c>
      <c r="Q17" s="12"/>
      <c r="R17" s="20">
        <v>0</v>
      </c>
      <c r="S17" s="12">
        <v>1</v>
      </c>
      <c r="T17" s="16">
        <f>+N17+O17+P17+R17+S17</f>
        <v>1</v>
      </c>
      <c r="U17" s="17" t="s">
        <v>68</v>
      </c>
    </row>
    <row r="18" spans="1:21" x14ac:dyDescent="0.25">
      <c r="A18" s="18" t="s">
        <v>62</v>
      </c>
      <c r="B18" s="18" t="s">
        <v>78</v>
      </c>
      <c r="C18" s="18" t="s">
        <v>83</v>
      </c>
      <c r="D18" s="18" t="s">
        <v>84</v>
      </c>
      <c r="E18" s="19" t="s">
        <v>85</v>
      </c>
      <c r="F18" s="18" t="s">
        <v>86</v>
      </c>
      <c r="G18" s="18" t="s">
        <v>39</v>
      </c>
      <c r="H18" s="9">
        <v>5168</v>
      </c>
      <c r="I18" s="56">
        <f t="shared" si="1"/>
        <v>38.76</v>
      </c>
      <c r="J18" s="21">
        <f t="shared" si="2"/>
        <v>5206.76</v>
      </c>
      <c r="K18" s="53">
        <f t="shared" si="3"/>
        <v>5478.08</v>
      </c>
      <c r="L18" s="22">
        <f t="shared" si="0"/>
        <v>221.31999999999971</v>
      </c>
      <c r="M18" s="20">
        <v>50</v>
      </c>
      <c r="N18" s="12">
        <v>1</v>
      </c>
      <c r="O18" s="12">
        <v>0</v>
      </c>
      <c r="P18" s="12">
        <v>0</v>
      </c>
      <c r="Q18" s="12"/>
      <c r="R18" s="20">
        <v>0</v>
      </c>
      <c r="S18" s="12">
        <v>0</v>
      </c>
      <c r="T18" s="16">
        <f>+N18+O18+P18+R18+S18</f>
        <v>1</v>
      </c>
      <c r="U18" s="17" t="s">
        <v>68</v>
      </c>
    </row>
    <row r="19" spans="1:21" x14ac:dyDescent="0.25">
      <c r="A19" s="18" t="s">
        <v>62</v>
      </c>
      <c r="B19" s="18" t="s">
        <v>87</v>
      </c>
      <c r="C19" s="18" t="s">
        <v>88</v>
      </c>
      <c r="D19" s="18" t="s">
        <v>89</v>
      </c>
      <c r="E19" s="19" t="s">
        <v>90</v>
      </c>
      <c r="F19" s="18" t="s">
        <v>91</v>
      </c>
      <c r="G19" s="18" t="s">
        <v>39</v>
      </c>
      <c r="H19" s="9">
        <v>3257</v>
      </c>
      <c r="I19" s="56">
        <f t="shared" si="1"/>
        <v>24.427499999999998</v>
      </c>
      <c r="J19" s="21">
        <f t="shared" si="2"/>
        <v>3281.4274999999998</v>
      </c>
      <c r="K19" s="53">
        <f t="shared" si="3"/>
        <v>3452.42</v>
      </c>
      <c r="L19" s="22">
        <f t="shared" si="0"/>
        <v>140.99250000000029</v>
      </c>
      <c r="M19" s="20">
        <v>30</v>
      </c>
      <c r="N19" s="12">
        <v>1</v>
      </c>
      <c r="O19" s="12">
        <v>0</v>
      </c>
      <c r="P19" s="12">
        <v>1</v>
      </c>
      <c r="Q19" s="12"/>
      <c r="R19" s="20">
        <v>0</v>
      </c>
      <c r="S19" s="12">
        <v>7</v>
      </c>
      <c r="T19" s="16">
        <f>+N19+O19+P19+R19+S19</f>
        <v>9</v>
      </c>
      <c r="U19" s="17" t="s">
        <v>68</v>
      </c>
    </row>
    <row r="20" spans="1:21" x14ac:dyDescent="0.25">
      <c r="A20" s="18" t="s">
        <v>62</v>
      </c>
      <c r="B20" s="18" t="s">
        <v>87</v>
      </c>
      <c r="C20" s="18" t="s">
        <v>92</v>
      </c>
      <c r="D20" s="18" t="s">
        <v>93</v>
      </c>
      <c r="E20" s="19" t="s">
        <v>94</v>
      </c>
      <c r="F20" s="18" t="s">
        <v>95</v>
      </c>
      <c r="G20" s="18" t="s">
        <v>39</v>
      </c>
      <c r="H20" s="9">
        <v>4956</v>
      </c>
      <c r="I20" s="56">
        <f t="shared" si="1"/>
        <v>37.17</v>
      </c>
      <c r="J20" s="21">
        <f t="shared" si="2"/>
        <v>4993.17</v>
      </c>
      <c r="K20" s="53">
        <f t="shared" si="3"/>
        <v>5253.36</v>
      </c>
      <c r="L20" s="22">
        <f t="shared" si="0"/>
        <v>230.1899999999996</v>
      </c>
      <c r="M20" s="20">
        <v>30</v>
      </c>
      <c r="N20" s="12">
        <v>1</v>
      </c>
      <c r="O20" s="12">
        <v>0</v>
      </c>
      <c r="P20" s="12">
        <v>1</v>
      </c>
      <c r="Q20" s="12"/>
      <c r="R20" s="20">
        <v>0</v>
      </c>
      <c r="S20" s="12">
        <v>9</v>
      </c>
      <c r="T20" s="16">
        <f>+N20+O20+P20+R20+S20</f>
        <v>11</v>
      </c>
      <c r="U20" s="17" t="s">
        <v>68</v>
      </c>
    </row>
    <row r="21" spans="1:21" x14ac:dyDescent="0.25">
      <c r="A21" s="18" t="s">
        <v>62</v>
      </c>
      <c r="B21" s="18" t="s">
        <v>87</v>
      </c>
      <c r="C21" s="18" t="s">
        <v>92</v>
      </c>
      <c r="D21" s="18" t="s">
        <v>96</v>
      </c>
      <c r="E21" s="19" t="s">
        <v>97</v>
      </c>
      <c r="F21" s="18" t="s">
        <v>98</v>
      </c>
      <c r="G21" s="18" t="s">
        <v>39</v>
      </c>
      <c r="H21" s="9">
        <v>5487</v>
      </c>
      <c r="I21" s="56">
        <f t="shared" si="1"/>
        <v>41.152499999999996</v>
      </c>
      <c r="J21" s="21">
        <f t="shared" si="2"/>
        <v>5528.1525000000001</v>
      </c>
      <c r="K21" s="53">
        <f t="shared" si="3"/>
        <v>5816.22</v>
      </c>
      <c r="L21" s="22">
        <f t="shared" si="0"/>
        <v>238.06750000000011</v>
      </c>
      <c r="M21" s="20">
        <v>50</v>
      </c>
      <c r="N21" s="12">
        <v>0</v>
      </c>
      <c r="O21" s="12">
        <v>0</v>
      </c>
      <c r="P21" s="12">
        <v>0</v>
      </c>
      <c r="Q21" s="12"/>
      <c r="R21" s="20">
        <v>0</v>
      </c>
      <c r="S21" s="12">
        <v>0</v>
      </c>
      <c r="T21" s="16">
        <f>+N21+O21+P21+R21+S21</f>
        <v>0</v>
      </c>
      <c r="U21" s="17" t="s">
        <v>68</v>
      </c>
    </row>
    <row r="22" spans="1:21" x14ac:dyDescent="0.25">
      <c r="A22" s="18" t="s">
        <v>62</v>
      </c>
      <c r="B22" s="18" t="s">
        <v>87</v>
      </c>
      <c r="C22" s="18" t="s">
        <v>92</v>
      </c>
      <c r="D22" s="18" t="s">
        <v>96</v>
      </c>
      <c r="E22" s="19" t="s">
        <v>97</v>
      </c>
      <c r="F22" s="18" t="s">
        <v>98</v>
      </c>
      <c r="G22" s="18" t="s">
        <v>57</v>
      </c>
      <c r="H22" s="9">
        <v>5947</v>
      </c>
      <c r="I22" s="56">
        <f t="shared" si="1"/>
        <v>44.602499999999999</v>
      </c>
      <c r="J22" s="21">
        <f t="shared" si="2"/>
        <v>5991.6025</v>
      </c>
      <c r="K22" s="53">
        <f t="shared" si="3"/>
        <v>6303.82</v>
      </c>
      <c r="L22" s="22">
        <f t="shared" si="0"/>
        <v>262.21749999999975</v>
      </c>
      <c r="M22" s="20">
        <v>50</v>
      </c>
      <c r="N22" s="12">
        <v>0</v>
      </c>
      <c r="O22" s="12">
        <v>0</v>
      </c>
      <c r="P22" s="12">
        <v>1</v>
      </c>
      <c r="Q22" s="12"/>
      <c r="R22" s="20">
        <v>0</v>
      </c>
      <c r="S22" s="12">
        <v>0</v>
      </c>
      <c r="T22" s="16">
        <f>+N22+O22+P22+R22+S22</f>
        <v>1</v>
      </c>
      <c r="U22" s="17" t="s">
        <v>68</v>
      </c>
    </row>
    <row r="23" spans="1:21" x14ac:dyDescent="0.25">
      <c r="A23" s="18" t="s">
        <v>62</v>
      </c>
      <c r="B23" s="18" t="s">
        <v>87</v>
      </c>
      <c r="C23" s="18" t="s">
        <v>92</v>
      </c>
      <c r="D23" s="18" t="s">
        <v>99</v>
      </c>
      <c r="E23" s="19" t="s">
        <v>97</v>
      </c>
      <c r="F23" s="18" t="s">
        <v>100</v>
      </c>
      <c r="G23" s="18" t="s">
        <v>57</v>
      </c>
      <c r="H23" s="9">
        <v>6230</v>
      </c>
      <c r="I23" s="56">
        <f t="shared" si="1"/>
        <v>46.725000000000001</v>
      </c>
      <c r="J23" s="21">
        <f t="shared" si="2"/>
        <v>6276.7250000000004</v>
      </c>
      <c r="K23" s="53">
        <f t="shared" si="3"/>
        <v>6603.8</v>
      </c>
      <c r="L23" s="22">
        <f t="shared" si="0"/>
        <v>277.07499999999982</v>
      </c>
      <c r="M23" s="20">
        <v>50</v>
      </c>
      <c r="N23" s="12">
        <v>1</v>
      </c>
      <c r="O23" s="12">
        <v>0</v>
      </c>
      <c r="P23" s="12">
        <v>0</v>
      </c>
      <c r="Q23" s="12"/>
      <c r="R23" s="20">
        <v>0</v>
      </c>
      <c r="S23" s="12">
        <v>0</v>
      </c>
      <c r="T23" s="16">
        <f>+N23+O23+P23+R23+S23</f>
        <v>1</v>
      </c>
      <c r="U23" s="17" t="s">
        <v>68</v>
      </c>
    </row>
    <row r="24" spans="1:21" x14ac:dyDescent="0.25">
      <c r="A24" s="18" t="s">
        <v>62</v>
      </c>
      <c r="B24" s="18" t="s">
        <v>87</v>
      </c>
      <c r="C24" s="18" t="s">
        <v>92</v>
      </c>
      <c r="D24" s="18" t="s">
        <v>101</v>
      </c>
      <c r="E24" s="19" t="s">
        <v>97</v>
      </c>
      <c r="F24" s="18" t="s">
        <v>102</v>
      </c>
      <c r="G24" s="18" t="s">
        <v>39</v>
      </c>
      <c r="H24" s="9">
        <v>6726</v>
      </c>
      <c r="I24" s="56">
        <f t="shared" si="1"/>
        <v>50.445</v>
      </c>
      <c r="J24" s="21">
        <f t="shared" si="2"/>
        <v>6776.4449999999997</v>
      </c>
      <c r="K24" s="53">
        <f t="shared" si="3"/>
        <v>7129.56</v>
      </c>
      <c r="L24" s="22">
        <f t="shared" si="0"/>
        <v>303.11500000000069</v>
      </c>
      <c r="M24" s="20">
        <v>50</v>
      </c>
      <c r="N24" s="12">
        <v>0</v>
      </c>
      <c r="O24" s="12">
        <v>0</v>
      </c>
      <c r="P24" s="12">
        <v>0</v>
      </c>
      <c r="Q24" s="12"/>
      <c r="R24" s="20">
        <v>0</v>
      </c>
      <c r="S24" s="12">
        <v>0</v>
      </c>
      <c r="T24" s="16">
        <f>+N24+O24+P24+R24+S24</f>
        <v>0</v>
      </c>
      <c r="U24" s="17" t="s">
        <v>68</v>
      </c>
    </row>
    <row r="25" spans="1:21" x14ac:dyDescent="0.25">
      <c r="A25" s="18" t="s">
        <v>62</v>
      </c>
      <c r="B25" s="18" t="s">
        <v>87</v>
      </c>
      <c r="C25" s="18" t="s">
        <v>92</v>
      </c>
      <c r="D25" s="18" t="s">
        <v>101</v>
      </c>
      <c r="E25" s="19" t="s">
        <v>97</v>
      </c>
      <c r="F25" s="18" t="s">
        <v>102</v>
      </c>
      <c r="G25" s="18" t="s">
        <v>57</v>
      </c>
      <c r="H25" s="9">
        <v>7576</v>
      </c>
      <c r="I25" s="56">
        <f t="shared" si="1"/>
        <v>56.82</v>
      </c>
      <c r="J25" s="21">
        <f t="shared" si="2"/>
        <v>7632.82</v>
      </c>
      <c r="K25" s="53">
        <f t="shared" si="3"/>
        <v>8030.56</v>
      </c>
      <c r="L25" s="22">
        <f t="shared" si="0"/>
        <v>347.74000000000069</v>
      </c>
      <c r="M25" s="20">
        <v>50</v>
      </c>
      <c r="N25" s="12">
        <v>1</v>
      </c>
      <c r="O25" s="12">
        <v>0</v>
      </c>
      <c r="P25" s="12">
        <v>1</v>
      </c>
      <c r="Q25" s="12"/>
      <c r="R25" s="20">
        <v>0</v>
      </c>
      <c r="S25" s="12">
        <v>0</v>
      </c>
      <c r="T25" s="16">
        <f>+N25+O25+P25+R25+S25</f>
        <v>2</v>
      </c>
      <c r="U25" s="17" t="s">
        <v>68</v>
      </c>
    </row>
    <row r="26" spans="1:21" x14ac:dyDescent="0.25">
      <c r="A26" s="18" t="s">
        <v>62</v>
      </c>
      <c r="B26" s="18" t="s">
        <v>87</v>
      </c>
      <c r="C26" s="18" t="s">
        <v>92</v>
      </c>
      <c r="D26" s="18" t="s">
        <v>103</v>
      </c>
      <c r="E26" s="19" t="s">
        <v>97</v>
      </c>
      <c r="F26" s="18" t="s">
        <v>104</v>
      </c>
      <c r="G26" s="18" t="s">
        <v>39</v>
      </c>
      <c r="H26" s="9">
        <v>7788</v>
      </c>
      <c r="I26" s="56">
        <f t="shared" si="1"/>
        <v>58.41</v>
      </c>
      <c r="J26" s="21">
        <f t="shared" si="2"/>
        <v>7846.41</v>
      </c>
      <c r="K26" s="53">
        <f t="shared" si="3"/>
        <v>8255.2800000000007</v>
      </c>
      <c r="L26" s="22">
        <f t="shared" si="0"/>
        <v>358.8700000000008</v>
      </c>
      <c r="M26" s="20">
        <v>50</v>
      </c>
      <c r="N26" s="12">
        <v>0</v>
      </c>
      <c r="O26" s="12">
        <v>0</v>
      </c>
      <c r="P26" s="12">
        <v>0</v>
      </c>
      <c r="Q26" s="12"/>
      <c r="R26" s="20">
        <v>0</v>
      </c>
      <c r="S26" s="12">
        <v>3</v>
      </c>
      <c r="T26" s="16">
        <f>+N26+O26+P26+R26+S26</f>
        <v>3</v>
      </c>
      <c r="U26" s="17" t="s">
        <v>68</v>
      </c>
    </row>
    <row r="27" spans="1:21" x14ac:dyDescent="0.25">
      <c r="A27" s="18" t="s">
        <v>62</v>
      </c>
      <c r="B27" s="18" t="s">
        <v>87</v>
      </c>
      <c r="C27" s="18" t="s">
        <v>92</v>
      </c>
      <c r="D27" s="18" t="s">
        <v>103</v>
      </c>
      <c r="E27" s="19" t="s">
        <v>97</v>
      </c>
      <c r="F27" s="18" t="s">
        <v>104</v>
      </c>
      <c r="G27" s="18" t="s">
        <v>57</v>
      </c>
      <c r="H27" s="9">
        <v>8319</v>
      </c>
      <c r="I27" s="56">
        <f t="shared" si="1"/>
        <v>62.392499999999998</v>
      </c>
      <c r="J27" s="21">
        <f t="shared" si="2"/>
        <v>8381.3924999999999</v>
      </c>
      <c r="K27" s="53">
        <f t="shared" si="3"/>
        <v>8818.14</v>
      </c>
      <c r="L27" s="22">
        <f t="shared" si="0"/>
        <v>386.74749999999949</v>
      </c>
      <c r="M27" s="20">
        <v>50</v>
      </c>
      <c r="N27" s="12">
        <v>1</v>
      </c>
      <c r="O27" s="12">
        <v>0</v>
      </c>
      <c r="P27" s="12">
        <v>0</v>
      </c>
      <c r="Q27" s="12"/>
      <c r="R27" s="20">
        <v>0</v>
      </c>
      <c r="S27" s="12">
        <v>3</v>
      </c>
      <c r="T27" s="16">
        <f>+N27+O27+P27+R27+S27</f>
        <v>4</v>
      </c>
      <c r="U27" s="17" t="s">
        <v>68</v>
      </c>
    </row>
    <row r="28" spans="1:21" x14ac:dyDescent="0.25">
      <c r="A28" s="7" t="s">
        <v>62</v>
      </c>
      <c r="B28" s="7" t="s">
        <v>47</v>
      </c>
      <c r="C28" s="7" t="s">
        <v>105</v>
      </c>
      <c r="D28" s="7" t="s">
        <v>106</v>
      </c>
      <c r="E28" s="8" t="s">
        <v>107</v>
      </c>
      <c r="F28" s="7" t="s">
        <v>108</v>
      </c>
      <c r="G28" s="7" t="s">
        <v>39</v>
      </c>
      <c r="H28" s="9">
        <v>835</v>
      </c>
      <c r="I28" s="56">
        <f t="shared" si="1"/>
        <v>6.2625000000000002</v>
      </c>
      <c r="J28" s="11">
        <f t="shared" si="2"/>
        <v>841.26250000000005</v>
      </c>
      <c r="K28" s="53">
        <v>900</v>
      </c>
      <c r="L28" s="13">
        <f t="shared" si="0"/>
        <v>38.737499999999955</v>
      </c>
      <c r="M28" s="10">
        <v>20</v>
      </c>
      <c r="N28" s="12">
        <v>0</v>
      </c>
      <c r="O28" s="12">
        <v>0</v>
      </c>
      <c r="P28" s="12">
        <v>1</v>
      </c>
      <c r="Q28" s="12"/>
      <c r="R28" s="20">
        <v>0</v>
      </c>
      <c r="S28" s="12">
        <v>5</v>
      </c>
      <c r="T28" s="16">
        <f>+N28+O28+P28+R28+S28</f>
        <v>6</v>
      </c>
      <c r="U28" s="17" t="s">
        <v>109</v>
      </c>
    </row>
    <row r="29" spans="1:21" x14ac:dyDescent="0.25">
      <c r="A29" s="7" t="s">
        <v>110</v>
      </c>
      <c r="B29" s="7" t="s">
        <v>52</v>
      </c>
      <c r="C29" s="7" t="s">
        <v>53</v>
      </c>
      <c r="D29" s="7" t="s">
        <v>111</v>
      </c>
      <c r="E29" s="8" t="s">
        <v>112</v>
      </c>
      <c r="F29" s="7" t="s">
        <v>113</v>
      </c>
      <c r="G29" s="7" t="s">
        <v>24</v>
      </c>
      <c r="H29" s="9">
        <v>1420</v>
      </c>
      <c r="I29" s="56">
        <f t="shared" si="1"/>
        <v>10.65</v>
      </c>
      <c r="J29" s="11">
        <f t="shared" si="2"/>
        <v>1430.65</v>
      </c>
      <c r="K29" s="53">
        <v>1600</v>
      </c>
      <c r="L29" s="13">
        <f t="shared" si="0"/>
        <v>119.34999999999991</v>
      </c>
      <c r="M29" s="10">
        <v>50</v>
      </c>
      <c r="N29" s="12">
        <v>0</v>
      </c>
      <c r="O29" s="12">
        <v>1</v>
      </c>
      <c r="P29" s="12">
        <v>0</v>
      </c>
      <c r="Q29" s="12"/>
      <c r="R29" s="20">
        <v>0</v>
      </c>
      <c r="S29" s="12">
        <v>1</v>
      </c>
      <c r="T29" s="16">
        <f>+N29+O29+P29+R29+S29</f>
        <v>2</v>
      </c>
      <c r="U29" s="17" t="s">
        <v>109</v>
      </c>
    </row>
    <row r="30" spans="1:21" x14ac:dyDescent="0.25">
      <c r="A30" s="7" t="s">
        <v>110</v>
      </c>
      <c r="B30" s="7" t="s">
        <v>78</v>
      </c>
      <c r="C30" s="7" t="s">
        <v>83</v>
      </c>
      <c r="D30" s="7" t="s">
        <v>114</v>
      </c>
      <c r="E30" s="8" t="s">
        <v>85</v>
      </c>
      <c r="F30" s="7" t="s">
        <v>115</v>
      </c>
      <c r="G30" s="7" t="s">
        <v>39</v>
      </c>
      <c r="H30" s="9">
        <v>1950</v>
      </c>
      <c r="I30" s="56">
        <f t="shared" si="1"/>
        <v>14.625</v>
      </c>
      <c r="J30" s="11">
        <f t="shared" si="2"/>
        <v>1964.625</v>
      </c>
      <c r="K30" s="53">
        <f t="shared" si="3"/>
        <v>2067</v>
      </c>
      <c r="L30" s="13">
        <f t="shared" si="0"/>
        <v>72.375</v>
      </c>
      <c r="M30" s="10">
        <v>30</v>
      </c>
      <c r="N30" s="12">
        <v>0</v>
      </c>
      <c r="O30" s="12">
        <v>0</v>
      </c>
      <c r="P30" s="12">
        <v>0</v>
      </c>
      <c r="Q30" s="12"/>
      <c r="R30" s="20">
        <v>0</v>
      </c>
      <c r="S30" s="12">
        <v>1</v>
      </c>
      <c r="T30" s="16">
        <f>+N30+O30+P30+R30+S30</f>
        <v>1</v>
      </c>
      <c r="U30" s="17" t="s">
        <v>109</v>
      </c>
    </row>
    <row r="31" spans="1:21" x14ac:dyDescent="0.25">
      <c r="A31" s="7" t="s">
        <v>116</v>
      </c>
      <c r="B31" s="7" t="s">
        <v>78</v>
      </c>
      <c r="C31" s="7" t="s">
        <v>83</v>
      </c>
      <c r="D31" s="7" t="s">
        <v>114</v>
      </c>
      <c r="E31" s="8" t="s">
        <v>85</v>
      </c>
      <c r="F31" s="7" t="s">
        <v>117</v>
      </c>
      <c r="G31" s="7" t="s">
        <v>24</v>
      </c>
      <c r="H31" s="9">
        <v>3190</v>
      </c>
      <c r="I31" s="56">
        <f t="shared" si="1"/>
        <v>23.925000000000001</v>
      </c>
      <c r="J31" s="11">
        <f t="shared" si="2"/>
        <v>3213.9250000000002</v>
      </c>
      <c r="K31" s="53">
        <f t="shared" si="3"/>
        <v>3381.4</v>
      </c>
      <c r="L31" s="13">
        <f t="shared" si="0"/>
        <v>137.47499999999991</v>
      </c>
      <c r="M31" s="10">
        <v>30</v>
      </c>
      <c r="N31" s="12">
        <v>1</v>
      </c>
      <c r="O31" s="12">
        <v>0</v>
      </c>
      <c r="P31" s="12">
        <v>1</v>
      </c>
      <c r="Q31" s="12"/>
      <c r="R31" s="20">
        <v>0</v>
      </c>
      <c r="S31" s="12">
        <v>10</v>
      </c>
      <c r="T31" s="16">
        <f>+N31+O31+P31+R31+S31</f>
        <v>12</v>
      </c>
      <c r="U31" s="17" t="s">
        <v>109</v>
      </c>
    </row>
    <row r="32" spans="1:21" x14ac:dyDescent="0.25">
      <c r="A32" s="7" t="s">
        <v>116</v>
      </c>
      <c r="B32" s="7" t="s">
        <v>78</v>
      </c>
      <c r="C32" s="7" t="s">
        <v>83</v>
      </c>
      <c r="D32" s="7" t="s">
        <v>118</v>
      </c>
      <c r="E32" s="8" t="s">
        <v>85</v>
      </c>
      <c r="F32" s="7" t="s">
        <v>119</v>
      </c>
      <c r="G32" s="7" t="s">
        <v>24</v>
      </c>
      <c r="H32" s="9">
        <v>3520</v>
      </c>
      <c r="I32" s="56">
        <f t="shared" si="1"/>
        <v>26.4</v>
      </c>
      <c r="J32" s="11">
        <f t="shared" si="2"/>
        <v>3546.4</v>
      </c>
      <c r="K32" s="53">
        <f t="shared" si="3"/>
        <v>3731.2</v>
      </c>
      <c r="L32" s="13">
        <f t="shared" si="0"/>
        <v>154.79999999999973</v>
      </c>
      <c r="M32" s="10">
        <v>30</v>
      </c>
      <c r="N32" s="12">
        <v>1</v>
      </c>
      <c r="O32" s="12">
        <v>0</v>
      </c>
      <c r="P32" s="12">
        <v>1</v>
      </c>
      <c r="Q32" s="12"/>
      <c r="R32" s="20">
        <v>0</v>
      </c>
      <c r="S32" s="12">
        <v>8</v>
      </c>
      <c r="T32" s="16">
        <f>+N32+O32+P32+R32+S32</f>
        <v>10</v>
      </c>
      <c r="U32" s="17" t="s">
        <v>109</v>
      </c>
    </row>
    <row r="33" spans="1:21" x14ac:dyDescent="0.25">
      <c r="A33" s="7" t="s">
        <v>116</v>
      </c>
      <c r="B33" s="7" t="s">
        <v>78</v>
      </c>
      <c r="C33" s="7" t="s">
        <v>83</v>
      </c>
      <c r="D33" s="7" t="s">
        <v>120</v>
      </c>
      <c r="E33" s="8" t="s">
        <v>85</v>
      </c>
      <c r="F33" s="7" t="s">
        <v>121</v>
      </c>
      <c r="G33" s="7" t="s">
        <v>24</v>
      </c>
      <c r="H33" s="9">
        <v>4130</v>
      </c>
      <c r="I33" s="56">
        <f t="shared" si="1"/>
        <v>30.974999999999998</v>
      </c>
      <c r="J33" s="11">
        <f t="shared" si="2"/>
        <v>4160.9750000000004</v>
      </c>
      <c r="K33" s="53">
        <f t="shared" si="3"/>
        <v>4377.8</v>
      </c>
      <c r="L33" s="13">
        <f t="shared" si="0"/>
        <v>186.82499999999982</v>
      </c>
      <c r="M33" s="10">
        <v>30</v>
      </c>
      <c r="N33" s="12">
        <v>0</v>
      </c>
      <c r="O33" s="12">
        <v>0</v>
      </c>
      <c r="P33" s="12">
        <v>1</v>
      </c>
      <c r="Q33" s="12"/>
      <c r="R33" s="20">
        <v>0</v>
      </c>
      <c r="S33" s="12">
        <v>2</v>
      </c>
      <c r="T33" s="16">
        <f>+N33+O33+P33+R33+S33</f>
        <v>3</v>
      </c>
      <c r="U33" s="17" t="s">
        <v>109</v>
      </c>
    </row>
    <row r="34" spans="1:21" x14ac:dyDescent="0.25">
      <c r="A34" s="7" t="s">
        <v>116</v>
      </c>
      <c r="B34" s="7" t="s">
        <v>78</v>
      </c>
      <c r="C34" s="7" t="s">
        <v>83</v>
      </c>
      <c r="D34" s="7" t="s">
        <v>122</v>
      </c>
      <c r="E34" s="8" t="s">
        <v>85</v>
      </c>
      <c r="F34" s="7" t="s">
        <v>123</v>
      </c>
      <c r="G34" s="7" t="s">
        <v>24</v>
      </c>
      <c r="H34" s="9">
        <v>4854</v>
      </c>
      <c r="I34" s="56">
        <f t="shared" si="1"/>
        <v>36.405000000000001</v>
      </c>
      <c r="J34" s="11">
        <f t="shared" si="2"/>
        <v>4890.4049999999997</v>
      </c>
      <c r="K34" s="53">
        <f t="shared" si="3"/>
        <v>5145.24</v>
      </c>
      <c r="L34" s="13">
        <f t="shared" si="0"/>
        <v>204.83500000000004</v>
      </c>
      <c r="M34" s="10">
        <v>50</v>
      </c>
      <c r="N34" s="12">
        <v>0</v>
      </c>
      <c r="O34" s="12">
        <v>0</v>
      </c>
      <c r="P34" s="12">
        <v>0</v>
      </c>
      <c r="Q34" s="12"/>
      <c r="R34" s="20">
        <v>0</v>
      </c>
      <c r="S34" s="12">
        <v>0</v>
      </c>
      <c r="T34" s="16">
        <f>+N34+O34+P34+R34+S34</f>
        <v>0</v>
      </c>
      <c r="U34" s="17" t="s">
        <v>109</v>
      </c>
    </row>
    <row r="35" spans="1:21" x14ac:dyDescent="0.25">
      <c r="A35" s="18" t="s">
        <v>116</v>
      </c>
      <c r="B35" s="18" t="s">
        <v>78</v>
      </c>
      <c r="C35" s="18" t="s">
        <v>124</v>
      </c>
      <c r="D35" s="18" t="s">
        <v>125</v>
      </c>
      <c r="E35" s="19" t="s">
        <v>81</v>
      </c>
      <c r="F35" s="18" t="s">
        <v>126</v>
      </c>
      <c r="G35" s="18" t="s">
        <v>24</v>
      </c>
      <c r="H35" s="9">
        <v>5020</v>
      </c>
      <c r="I35" s="56">
        <f t="shared" si="1"/>
        <v>37.65</v>
      </c>
      <c r="J35" s="21">
        <f t="shared" si="2"/>
        <v>5057.6499999999996</v>
      </c>
      <c r="K35" s="53">
        <f t="shared" si="3"/>
        <v>5321.2</v>
      </c>
      <c r="L35" s="22">
        <f t="shared" si="0"/>
        <v>213.55000000000018</v>
      </c>
      <c r="M35" s="20">
        <v>50</v>
      </c>
      <c r="N35" s="12">
        <v>0</v>
      </c>
      <c r="O35" s="12">
        <v>0</v>
      </c>
      <c r="P35" s="12">
        <v>1</v>
      </c>
      <c r="Q35" s="12"/>
      <c r="R35" s="20">
        <v>0</v>
      </c>
      <c r="S35" s="12">
        <v>0</v>
      </c>
      <c r="T35" s="16">
        <f>+N35+O35+P35+R35+S35</f>
        <v>1</v>
      </c>
      <c r="U35" s="17" t="s">
        <v>109</v>
      </c>
    </row>
    <row r="36" spans="1:21" x14ac:dyDescent="0.25">
      <c r="A36" s="7" t="s">
        <v>116</v>
      </c>
      <c r="B36" s="7" t="s">
        <v>87</v>
      </c>
      <c r="C36" s="7" t="s">
        <v>88</v>
      </c>
      <c r="D36" s="7" t="s">
        <v>127</v>
      </c>
      <c r="E36" s="8"/>
      <c r="F36" s="7" t="s">
        <v>128</v>
      </c>
      <c r="G36" s="7" t="s">
        <v>129</v>
      </c>
      <c r="H36" s="9">
        <v>1590</v>
      </c>
      <c r="I36" s="56">
        <f t="shared" si="1"/>
        <v>11.924999999999999</v>
      </c>
      <c r="J36" s="11">
        <f t="shared" si="2"/>
        <v>1601.925</v>
      </c>
      <c r="K36" s="53">
        <v>1700</v>
      </c>
      <c r="L36" s="13">
        <f t="shared" si="0"/>
        <v>88.075000000000045</v>
      </c>
      <c r="M36" s="10">
        <v>10</v>
      </c>
      <c r="N36" s="12">
        <v>0</v>
      </c>
      <c r="O36" s="12">
        <v>0</v>
      </c>
      <c r="P36" s="12">
        <v>0</v>
      </c>
      <c r="Q36" s="12"/>
      <c r="R36" s="20">
        <v>0</v>
      </c>
      <c r="S36" s="12">
        <v>0</v>
      </c>
      <c r="T36" s="16">
        <f>+N36+O36+P36+R36+S36</f>
        <v>0</v>
      </c>
      <c r="U36" s="17" t="s">
        <v>109</v>
      </c>
    </row>
    <row r="37" spans="1:21" x14ac:dyDescent="0.25">
      <c r="A37" s="7" t="s">
        <v>116</v>
      </c>
      <c r="B37" s="7" t="s">
        <v>87</v>
      </c>
      <c r="C37" s="7" t="s">
        <v>92</v>
      </c>
      <c r="D37" s="7" t="s">
        <v>130</v>
      </c>
      <c r="E37" s="8" t="s">
        <v>97</v>
      </c>
      <c r="F37" s="7" t="s">
        <v>131</v>
      </c>
      <c r="G37" s="7" t="s">
        <v>24</v>
      </c>
      <c r="H37" s="9">
        <v>6100</v>
      </c>
      <c r="I37" s="56">
        <f t="shared" si="1"/>
        <v>45.75</v>
      </c>
      <c r="J37" s="11">
        <f t="shared" si="2"/>
        <v>6145.75</v>
      </c>
      <c r="K37" s="53">
        <f t="shared" si="3"/>
        <v>6466</v>
      </c>
      <c r="L37" s="13">
        <f t="shared" si="0"/>
        <v>220.25</v>
      </c>
      <c r="M37" s="10">
        <v>100</v>
      </c>
      <c r="N37" s="12">
        <v>0</v>
      </c>
      <c r="O37" s="12">
        <v>1</v>
      </c>
      <c r="P37" s="12">
        <v>1</v>
      </c>
      <c r="Q37" s="12"/>
      <c r="R37" s="20">
        <v>0</v>
      </c>
      <c r="S37" s="12">
        <v>7</v>
      </c>
      <c r="T37" s="16">
        <f>+N37+O37+P37+R37+S37</f>
        <v>9</v>
      </c>
      <c r="U37" s="17" t="s">
        <v>109</v>
      </c>
    </row>
    <row r="38" spans="1:21" x14ac:dyDescent="0.25">
      <c r="A38" s="18" t="s">
        <v>116</v>
      </c>
      <c r="B38" s="18" t="s">
        <v>87</v>
      </c>
      <c r="C38" s="18" t="s">
        <v>92</v>
      </c>
      <c r="D38" s="18" t="s">
        <v>132</v>
      </c>
      <c r="E38" s="19" t="s">
        <v>133</v>
      </c>
      <c r="F38" s="18" t="s">
        <v>134</v>
      </c>
      <c r="G38" s="18" t="s">
        <v>24</v>
      </c>
      <c r="H38" s="23">
        <v>5558</v>
      </c>
      <c r="I38" s="56">
        <f t="shared" si="1"/>
        <v>41.684999999999995</v>
      </c>
      <c r="J38" s="21">
        <f t="shared" si="2"/>
        <v>5599.6850000000004</v>
      </c>
      <c r="K38" s="53">
        <f t="shared" si="3"/>
        <v>5891.48</v>
      </c>
      <c r="L38" s="22">
        <f t="shared" si="0"/>
        <v>241.79499999999916</v>
      </c>
      <c r="M38" s="20">
        <v>50</v>
      </c>
      <c r="N38" s="12">
        <v>0</v>
      </c>
      <c r="O38" s="12">
        <v>0</v>
      </c>
      <c r="P38" s="12">
        <v>0</v>
      </c>
      <c r="Q38" s="12"/>
      <c r="R38" s="20">
        <v>0</v>
      </c>
      <c r="S38" s="12">
        <v>2</v>
      </c>
      <c r="T38" s="16">
        <f>+N38+O38+P38+R38+S38</f>
        <v>2</v>
      </c>
      <c r="U38" s="17" t="s">
        <v>109</v>
      </c>
    </row>
    <row r="39" spans="1:21" x14ac:dyDescent="0.25">
      <c r="A39" s="7" t="s">
        <v>116</v>
      </c>
      <c r="B39" s="7" t="s">
        <v>87</v>
      </c>
      <c r="C39" s="7" t="s">
        <v>135</v>
      </c>
      <c r="D39" s="7"/>
      <c r="E39" s="8" t="s">
        <v>136</v>
      </c>
      <c r="F39" s="7" t="s">
        <v>137</v>
      </c>
      <c r="G39" s="7" t="s">
        <v>24</v>
      </c>
      <c r="H39" s="9">
        <v>9000</v>
      </c>
      <c r="I39" s="56">
        <f t="shared" si="1"/>
        <v>67.5</v>
      </c>
      <c r="J39" s="11">
        <f t="shared" si="2"/>
        <v>9067.5</v>
      </c>
      <c r="K39" s="53">
        <f t="shared" si="3"/>
        <v>9540</v>
      </c>
      <c r="L39" s="13">
        <f t="shared" si="0"/>
        <v>372.5</v>
      </c>
      <c r="M39" s="10">
        <v>100</v>
      </c>
      <c r="N39" s="12">
        <v>1</v>
      </c>
      <c r="O39" s="12">
        <v>0</v>
      </c>
      <c r="P39" s="12">
        <v>1</v>
      </c>
      <c r="Q39" s="12"/>
      <c r="R39" s="20">
        <v>0</v>
      </c>
      <c r="S39" s="12">
        <v>1</v>
      </c>
      <c r="T39" s="16">
        <f>+N39+O39+P39+R39+S39</f>
        <v>3</v>
      </c>
      <c r="U39" s="17" t="s">
        <v>109</v>
      </c>
    </row>
    <row r="40" spans="1:21" x14ac:dyDescent="0.25">
      <c r="A40" s="7" t="s">
        <v>116</v>
      </c>
      <c r="B40" s="7" t="s">
        <v>87</v>
      </c>
      <c r="C40" s="7" t="s">
        <v>138</v>
      </c>
      <c r="D40" s="7"/>
      <c r="E40" s="8" t="s">
        <v>139</v>
      </c>
      <c r="F40" s="7" t="s">
        <v>140</v>
      </c>
      <c r="G40" s="7" t="s">
        <v>24</v>
      </c>
      <c r="H40" s="9">
        <v>9500</v>
      </c>
      <c r="I40" s="56">
        <f t="shared" si="1"/>
        <v>71.25</v>
      </c>
      <c r="J40" s="11">
        <f t="shared" si="2"/>
        <v>9571.25</v>
      </c>
      <c r="K40" s="53">
        <f t="shared" si="3"/>
        <v>10070</v>
      </c>
      <c r="L40" s="13">
        <f t="shared" si="0"/>
        <v>398.75</v>
      </c>
      <c r="M40" s="10">
        <v>100</v>
      </c>
      <c r="N40" s="12"/>
      <c r="O40" s="12"/>
      <c r="P40" s="12"/>
      <c r="Q40" s="12"/>
      <c r="R40" s="20"/>
      <c r="S40" s="12"/>
      <c r="T40" s="16">
        <f>+N40+O40+P40+R40+S40</f>
        <v>0</v>
      </c>
      <c r="U40" s="17" t="s">
        <v>109</v>
      </c>
    </row>
    <row r="41" spans="1:21" x14ac:dyDescent="0.25">
      <c r="A41" s="18" t="s">
        <v>116</v>
      </c>
      <c r="B41" s="18" t="s">
        <v>47</v>
      </c>
      <c r="C41" s="18" t="s">
        <v>105</v>
      </c>
      <c r="D41" s="18" t="s">
        <v>141</v>
      </c>
      <c r="E41" s="19" t="s">
        <v>142</v>
      </c>
      <c r="F41" s="18" t="s">
        <v>143</v>
      </c>
      <c r="G41" s="18" t="s">
        <v>57</v>
      </c>
      <c r="H41" s="9">
        <v>1200</v>
      </c>
      <c r="I41" s="56">
        <f t="shared" si="1"/>
        <v>9</v>
      </c>
      <c r="J41" s="21">
        <f t="shared" si="2"/>
        <v>1209</v>
      </c>
      <c r="K41" s="53">
        <f t="shared" si="3"/>
        <v>1272</v>
      </c>
      <c r="L41" s="22">
        <f t="shared" si="0"/>
        <v>43</v>
      </c>
      <c r="M41" s="20">
        <v>20</v>
      </c>
      <c r="N41" s="12">
        <v>1</v>
      </c>
      <c r="O41" s="12">
        <v>1</v>
      </c>
      <c r="P41" s="12">
        <v>0</v>
      </c>
      <c r="Q41" s="12"/>
      <c r="R41" s="20">
        <v>0</v>
      </c>
      <c r="S41" s="12">
        <v>3</v>
      </c>
      <c r="T41" s="16">
        <f>+N41+O41+P41+R41+S41</f>
        <v>5</v>
      </c>
      <c r="U41" s="17" t="s">
        <v>109</v>
      </c>
    </row>
    <row r="42" spans="1:21" x14ac:dyDescent="0.25">
      <c r="A42" s="18" t="s">
        <v>116</v>
      </c>
      <c r="B42" s="18" t="s">
        <v>19</v>
      </c>
      <c r="C42" s="18" t="s">
        <v>20</v>
      </c>
      <c r="D42" s="18" t="s">
        <v>21</v>
      </c>
      <c r="E42" s="19" t="s">
        <v>144</v>
      </c>
      <c r="F42" s="18" t="s">
        <v>145</v>
      </c>
      <c r="G42" s="18" t="s">
        <v>24</v>
      </c>
      <c r="H42" s="9">
        <v>2668</v>
      </c>
      <c r="I42" s="56">
        <f t="shared" si="1"/>
        <v>20.009999999999998</v>
      </c>
      <c r="J42" s="21">
        <f t="shared" si="2"/>
        <v>2688.01</v>
      </c>
      <c r="K42" s="53">
        <f t="shared" si="3"/>
        <v>2828.08</v>
      </c>
      <c r="L42" s="22">
        <f t="shared" si="0"/>
        <v>90.069999999999709</v>
      </c>
      <c r="M42" s="20">
        <v>50</v>
      </c>
      <c r="N42" s="12">
        <v>1</v>
      </c>
      <c r="O42" s="12">
        <v>1</v>
      </c>
      <c r="P42" s="12">
        <v>0</v>
      </c>
      <c r="Q42" s="12"/>
      <c r="R42" s="20">
        <v>0</v>
      </c>
      <c r="S42" s="12">
        <v>0</v>
      </c>
      <c r="T42" s="16">
        <f>+N42+O42+P42+R42+S42</f>
        <v>2</v>
      </c>
      <c r="U42" s="17" t="s">
        <v>109</v>
      </c>
    </row>
    <row r="43" spans="1:21" x14ac:dyDescent="0.25">
      <c r="A43" s="7" t="s">
        <v>116</v>
      </c>
      <c r="B43" s="7" t="s">
        <v>19</v>
      </c>
      <c r="C43" s="7" t="s">
        <v>20</v>
      </c>
      <c r="D43" s="7" t="s">
        <v>146</v>
      </c>
      <c r="E43" s="8" t="s">
        <v>22</v>
      </c>
      <c r="F43" s="7" t="s">
        <v>147</v>
      </c>
      <c r="G43" s="7" t="s">
        <v>24</v>
      </c>
      <c r="H43" s="9">
        <v>4056</v>
      </c>
      <c r="I43" s="56">
        <f t="shared" si="1"/>
        <v>30.419999999999998</v>
      </c>
      <c r="J43" s="11">
        <f t="shared" si="2"/>
        <v>4086.42</v>
      </c>
      <c r="K43" s="53">
        <f t="shared" si="3"/>
        <v>4299.3599999999997</v>
      </c>
      <c r="L43" s="13">
        <f t="shared" si="0"/>
        <v>162.9399999999996</v>
      </c>
      <c r="M43" s="10">
        <v>50</v>
      </c>
      <c r="N43" s="12">
        <v>0</v>
      </c>
      <c r="O43" s="12">
        <v>0</v>
      </c>
      <c r="P43" s="12">
        <v>1</v>
      </c>
      <c r="Q43" s="12"/>
      <c r="R43" s="20"/>
      <c r="S43" s="12"/>
      <c r="T43" s="16">
        <f>+N43+O43+P43+R43+S43</f>
        <v>1</v>
      </c>
      <c r="U43" s="17" t="s">
        <v>109</v>
      </c>
    </row>
    <row r="44" spans="1:21" x14ac:dyDescent="0.25">
      <c r="A44" s="18" t="s">
        <v>116</v>
      </c>
      <c r="B44" s="18" t="s">
        <v>148</v>
      </c>
      <c r="C44" s="18" t="s">
        <v>75</v>
      </c>
      <c r="D44" s="18"/>
      <c r="E44" s="19" t="s">
        <v>149</v>
      </c>
      <c r="F44" s="18" t="s">
        <v>150</v>
      </c>
      <c r="G44" s="18" t="s">
        <v>24</v>
      </c>
      <c r="H44" s="9">
        <v>1390</v>
      </c>
      <c r="I44" s="56">
        <f t="shared" si="1"/>
        <v>10.424999999999999</v>
      </c>
      <c r="J44" s="21">
        <f t="shared" si="2"/>
        <v>1400.425</v>
      </c>
      <c r="K44" s="53">
        <f t="shared" si="3"/>
        <v>1473.4</v>
      </c>
      <c r="L44" s="22">
        <f t="shared" si="0"/>
        <v>22.975000000000136</v>
      </c>
      <c r="M44" s="20">
        <v>50</v>
      </c>
      <c r="N44" s="12">
        <v>0</v>
      </c>
      <c r="O44" s="12">
        <v>0</v>
      </c>
      <c r="P44" s="12">
        <v>0</v>
      </c>
      <c r="Q44" s="12"/>
      <c r="R44" s="20">
        <v>0</v>
      </c>
      <c r="S44" s="12">
        <v>0</v>
      </c>
      <c r="T44" s="16">
        <f>+N44+O44+P44+R44+S44</f>
        <v>0</v>
      </c>
      <c r="U44" s="17" t="s">
        <v>109</v>
      </c>
    </row>
    <row r="45" spans="1:21" x14ac:dyDescent="0.25">
      <c r="A45" s="18" t="s">
        <v>151</v>
      </c>
      <c r="B45" s="18" t="s">
        <v>52</v>
      </c>
      <c r="C45" s="18" t="s">
        <v>53</v>
      </c>
      <c r="D45" s="18" t="s">
        <v>111</v>
      </c>
      <c r="E45" s="19" t="s">
        <v>152</v>
      </c>
      <c r="F45" s="18" t="s">
        <v>153</v>
      </c>
      <c r="G45" s="18" t="s">
        <v>154</v>
      </c>
      <c r="H45" s="9">
        <v>1500</v>
      </c>
      <c r="I45" s="56">
        <f t="shared" si="1"/>
        <v>11.25</v>
      </c>
      <c r="J45" s="21">
        <f t="shared" si="2"/>
        <v>1511.25</v>
      </c>
      <c r="K45" s="53">
        <f t="shared" si="3"/>
        <v>1590</v>
      </c>
      <c r="L45" s="22">
        <f t="shared" si="0"/>
        <v>28.75</v>
      </c>
      <c r="M45" s="20">
        <v>50</v>
      </c>
      <c r="N45" s="12">
        <v>0</v>
      </c>
      <c r="O45" s="12">
        <v>0</v>
      </c>
      <c r="P45" s="12">
        <v>0</v>
      </c>
      <c r="Q45" s="12"/>
      <c r="R45" s="20">
        <v>0</v>
      </c>
      <c r="S45" s="12">
        <v>20</v>
      </c>
      <c r="T45" s="16">
        <f>+N45+O45+P45+R45+S45</f>
        <v>20</v>
      </c>
      <c r="U45" s="17" t="s">
        <v>155</v>
      </c>
    </row>
    <row r="46" spans="1:21" x14ac:dyDescent="0.25">
      <c r="A46" s="18" t="s">
        <v>151</v>
      </c>
      <c r="B46" s="18" t="s">
        <v>19</v>
      </c>
      <c r="C46" s="18" t="s">
        <v>48</v>
      </c>
      <c r="D46" s="18" t="s">
        <v>21</v>
      </c>
      <c r="E46" s="19" t="s">
        <v>156</v>
      </c>
      <c r="F46" s="18" t="s">
        <v>157</v>
      </c>
      <c r="G46" s="18" t="s">
        <v>24</v>
      </c>
      <c r="H46" s="9">
        <v>1000</v>
      </c>
      <c r="I46" s="56">
        <f t="shared" si="1"/>
        <v>7.5</v>
      </c>
      <c r="J46" s="21">
        <f t="shared" si="2"/>
        <v>1007.5</v>
      </c>
      <c r="K46" s="53">
        <v>1100</v>
      </c>
      <c r="L46" s="22">
        <f t="shared" si="0"/>
        <v>62.5</v>
      </c>
      <c r="M46" s="16">
        <v>30</v>
      </c>
      <c r="N46" s="15">
        <v>1</v>
      </c>
      <c r="O46" s="15">
        <v>0</v>
      </c>
      <c r="P46" s="15">
        <v>0</v>
      </c>
      <c r="Q46" s="15"/>
      <c r="R46" s="16">
        <v>0</v>
      </c>
      <c r="S46" s="15">
        <v>0</v>
      </c>
      <c r="T46" s="16">
        <f>+N46+O46+P46+R46+S46</f>
        <v>1</v>
      </c>
      <c r="U46" s="17" t="s">
        <v>155</v>
      </c>
    </row>
    <row r="47" spans="1:21" x14ac:dyDescent="0.25">
      <c r="A47" s="18" t="s">
        <v>158</v>
      </c>
      <c r="B47" s="18" t="s">
        <v>19</v>
      </c>
      <c r="C47" s="18" t="s">
        <v>20</v>
      </c>
      <c r="D47" s="18" t="s">
        <v>21</v>
      </c>
      <c r="E47" s="19" t="s">
        <v>159</v>
      </c>
      <c r="F47" s="18" t="s">
        <v>160</v>
      </c>
      <c r="G47" s="18" t="s">
        <v>24</v>
      </c>
      <c r="H47" s="9">
        <v>1195</v>
      </c>
      <c r="I47" s="56">
        <f t="shared" si="1"/>
        <v>8.9625000000000004</v>
      </c>
      <c r="J47" s="21">
        <f t="shared" si="2"/>
        <v>1203.9625000000001</v>
      </c>
      <c r="K47" s="53">
        <v>1300</v>
      </c>
      <c r="L47" s="22">
        <f t="shared" si="0"/>
        <v>66.037499999999909</v>
      </c>
      <c r="M47" s="20">
        <v>30</v>
      </c>
      <c r="N47" s="12">
        <v>0</v>
      </c>
      <c r="O47" s="12">
        <v>0</v>
      </c>
      <c r="P47" s="12">
        <v>0</v>
      </c>
      <c r="Q47" s="12"/>
      <c r="R47" s="20">
        <v>0</v>
      </c>
      <c r="S47" s="12">
        <v>20</v>
      </c>
      <c r="T47" s="16">
        <f>+N47+O47+P47+R47+S47</f>
        <v>20</v>
      </c>
      <c r="U47" s="17" t="s">
        <v>161</v>
      </c>
    </row>
    <row r="48" spans="1:21" x14ac:dyDescent="0.25">
      <c r="A48" s="18" t="s">
        <v>158</v>
      </c>
      <c r="B48" s="18" t="s">
        <v>19</v>
      </c>
      <c r="C48" s="18" t="s">
        <v>20</v>
      </c>
      <c r="D48" s="18" t="s">
        <v>146</v>
      </c>
      <c r="E48" s="19" t="s">
        <v>162</v>
      </c>
      <c r="F48" s="18" t="s">
        <v>163</v>
      </c>
      <c r="G48" s="18" t="s">
        <v>24</v>
      </c>
      <c r="H48" s="9">
        <v>1953</v>
      </c>
      <c r="I48" s="56">
        <f t="shared" si="1"/>
        <v>14.647499999999999</v>
      </c>
      <c r="J48" s="21">
        <f t="shared" si="2"/>
        <v>1967.6475</v>
      </c>
      <c r="K48" s="53">
        <f t="shared" si="3"/>
        <v>2070.1799999999998</v>
      </c>
      <c r="L48" s="22">
        <f t="shared" si="0"/>
        <v>72.5324999999998</v>
      </c>
      <c r="M48" s="20">
        <v>30</v>
      </c>
      <c r="N48" s="12">
        <v>0</v>
      </c>
      <c r="O48" s="12">
        <v>0</v>
      </c>
      <c r="P48" s="12">
        <v>0</v>
      </c>
      <c r="Q48" s="12"/>
      <c r="R48" s="20">
        <v>0</v>
      </c>
      <c r="S48" s="12">
        <v>8</v>
      </c>
      <c r="T48" s="16">
        <f>+N48+O48+P48+R48+S48</f>
        <v>8</v>
      </c>
      <c r="U48" s="17" t="s">
        <v>161</v>
      </c>
    </row>
    <row r="49" spans="1:21" x14ac:dyDescent="0.25">
      <c r="A49" s="18" t="s">
        <v>158</v>
      </c>
      <c r="B49" s="18" t="s">
        <v>19</v>
      </c>
      <c r="C49" s="18" t="s">
        <v>20</v>
      </c>
      <c r="D49" s="18" t="s">
        <v>21</v>
      </c>
      <c r="E49" s="19" t="s">
        <v>159</v>
      </c>
      <c r="F49" s="18" t="s">
        <v>164</v>
      </c>
      <c r="G49" s="18" t="s">
        <v>39</v>
      </c>
      <c r="H49" s="9">
        <v>1326</v>
      </c>
      <c r="I49" s="56">
        <f t="shared" si="1"/>
        <v>9.9450000000000003</v>
      </c>
      <c r="J49" s="21">
        <f t="shared" si="2"/>
        <v>1335.9449999999999</v>
      </c>
      <c r="K49" s="53">
        <v>1450</v>
      </c>
      <c r="L49" s="22">
        <f t="shared" si="0"/>
        <v>84.055000000000064</v>
      </c>
      <c r="M49" s="20">
        <v>30</v>
      </c>
      <c r="N49" s="12">
        <v>0</v>
      </c>
      <c r="O49" s="12">
        <v>0</v>
      </c>
      <c r="P49" s="12">
        <v>0</v>
      </c>
      <c r="Q49" s="12"/>
      <c r="R49" s="20">
        <v>0</v>
      </c>
      <c r="S49" s="12">
        <v>15</v>
      </c>
      <c r="T49" s="16">
        <f>+N49+O49+P49+R49+S49</f>
        <v>15</v>
      </c>
      <c r="U49" s="17" t="s">
        <v>161</v>
      </c>
    </row>
    <row r="50" spans="1:21" x14ac:dyDescent="0.25">
      <c r="A50" s="18" t="s">
        <v>158</v>
      </c>
      <c r="B50" s="18" t="s">
        <v>19</v>
      </c>
      <c r="C50" s="18" t="s">
        <v>20</v>
      </c>
      <c r="D50" s="18" t="s">
        <v>21</v>
      </c>
      <c r="E50" s="19" t="s">
        <v>159</v>
      </c>
      <c r="F50" s="18" t="s">
        <v>165</v>
      </c>
      <c r="G50" s="18" t="s">
        <v>166</v>
      </c>
      <c r="H50" s="9">
        <v>1404</v>
      </c>
      <c r="I50" s="56">
        <f t="shared" si="1"/>
        <v>10.53</v>
      </c>
      <c r="J50" s="21">
        <f t="shared" si="2"/>
        <v>1414.53</v>
      </c>
      <c r="K50" s="53">
        <v>1500</v>
      </c>
      <c r="L50" s="22">
        <f t="shared" si="0"/>
        <v>55.470000000000027</v>
      </c>
      <c r="M50" s="20">
        <v>30</v>
      </c>
      <c r="N50" s="12">
        <v>0</v>
      </c>
      <c r="O50" s="12">
        <v>0</v>
      </c>
      <c r="P50" s="12">
        <v>0</v>
      </c>
      <c r="Q50" s="12"/>
      <c r="R50" s="20">
        <v>0</v>
      </c>
      <c r="S50" s="12">
        <v>15</v>
      </c>
      <c r="T50" s="16">
        <f>+N50+O50+P50+R50+S50</f>
        <v>15</v>
      </c>
      <c r="U50" s="17" t="s">
        <v>161</v>
      </c>
    </row>
    <row r="51" spans="1:21" x14ac:dyDescent="0.25">
      <c r="A51" s="18" t="s">
        <v>158</v>
      </c>
      <c r="B51" s="18" t="s">
        <v>19</v>
      </c>
      <c r="C51" s="18" t="s">
        <v>20</v>
      </c>
      <c r="D51" s="18" t="s">
        <v>21</v>
      </c>
      <c r="E51" s="19" t="s">
        <v>167</v>
      </c>
      <c r="F51" s="18" t="s">
        <v>168</v>
      </c>
      <c r="G51" s="18" t="s">
        <v>24</v>
      </c>
      <c r="H51" s="9">
        <v>1791</v>
      </c>
      <c r="I51" s="56">
        <f t="shared" si="1"/>
        <v>13.432499999999999</v>
      </c>
      <c r="J51" s="21">
        <f t="shared" si="2"/>
        <v>1804.4324999999999</v>
      </c>
      <c r="K51" s="53">
        <f t="shared" si="3"/>
        <v>1898.46</v>
      </c>
      <c r="L51" s="22">
        <f t="shared" si="0"/>
        <v>64.027500000000146</v>
      </c>
      <c r="M51" s="20">
        <v>30</v>
      </c>
      <c r="N51" s="12">
        <v>1</v>
      </c>
      <c r="O51" s="12">
        <v>1</v>
      </c>
      <c r="P51" s="12">
        <v>1</v>
      </c>
      <c r="Q51" s="12"/>
      <c r="R51" s="20">
        <v>0</v>
      </c>
      <c r="S51" s="12">
        <v>3</v>
      </c>
      <c r="T51" s="16">
        <f>+N51+O51+P51+R51+S51</f>
        <v>6</v>
      </c>
      <c r="U51" s="17" t="s">
        <v>161</v>
      </c>
    </row>
    <row r="52" spans="1:21" x14ac:dyDescent="0.25">
      <c r="A52" s="18" t="s">
        <v>158</v>
      </c>
      <c r="B52" s="18" t="s">
        <v>19</v>
      </c>
      <c r="C52" s="18" t="s">
        <v>20</v>
      </c>
      <c r="D52" s="18" t="s">
        <v>146</v>
      </c>
      <c r="E52" s="19" t="s">
        <v>167</v>
      </c>
      <c r="F52" s="18" t="s">
        <v>168</v>
      </c>
      <c r="G52" s="18" t="s">
        <v>24</v>
      </c>
      <c r="H52" s="9">
        <v>2276</v>
      </c>
      <c r="I52" s="56">
        <f t="shared" si="1"/>
        <v>17.07</v>
      </c>
      <c r="J52" s="21">
        <f t="shared" si="2"/>
        <v>2293.0700000000002</v>
      </c>
      <c r="K52" s="53">
        <f t="shared" si="3"/>
        <v>2412.56</v>
      </c>
      <c r="L52" s="22">
        <f t="shared" si="0"/>
        <v>69.489999999999782</v>
      </c>
      <c r="M52" s="20">
        <v>50</v>
      </c>
      <c r="N52" s="12">
        <v>1</v>
      </c>
      <c r="O52" s="12">
        <v>0</v>
      </c>
      <c r="P52" s="12">
        <v>1</v>
      </c>
      <c r="Q52" s="12"/>
      <c r="R52" s="20">
        <v>0</v>
      </c>
      <c r="S52" s="12">
        <v>0</v>
      </c>
      <c r="T52" s="16">
        <f>+N52+O52+P52+R52+S52</f>
        <v>2</v>
      </c>
      <c r="U52" s="17" t="s">
        <v>161</v>
      </c>
    </row>
    <row r="53" spans="1:21" x14ac:dyDescent="0.25">
      <c r="A53" s="18" t="s">
        <v>158</v>
      </c>
      <c r="B53" s="18" t="s">
        <v>19</v>
      </c>
      <c r="C53" s="18" t="s">
        <v>20</v>
      </c>
      <c r="D53" s="18" t="s">
        <v>21</v>
      </c>
      <c r="E53" s="19" t="s">
        <v>169</v>
      </c>
      <c r="F53" s="18" t="s">
        <v>170</v>
      </c>
      <c r="G53" s="18" t="s">
        <v>24</v>
      </c>
      <c r="H53" s="9">
        <v>2628</v>
      </c>
      <c r="I53" s="56">
        <f t="shared" si="1"/>
        <v>19.71</v>
      </c>
      <c r="J53" s="21">
        <f t="shared" si="2"/>
        <v>2647.71</v>
      </c>
      <c r="K53" s="53">
        <f t="shared" si="3"/>
        <v>2785.68</v>
      </c>
      <c r="L53" s="22">
        <f t="shared" si="0"/>
        <v>87.9699999999998</v>
      </c>
      <c r="M53" s="20">
        <v>50</v>
      </c>
      <c r="N53" s="12">
        <v>1</v>
      </c>
      <c r="O53" s="12">
        <v>1</v>
      </c>
      <c r="P53" s="12">
        <v>1</v>
      </c>
      <c r="Q53" s="12"/>
      <c r="R53" s="20">
        <v>0</v>
      </c>
      <c r="S53" s="12">
        <v>8</v>
      </c>
      <c r="T53" s="16">
        <f>+N53+O53+P53+R53+S53</f>
        <v>11</v>
      </c>
      <c r="U53" s="17" t="s">
        <v>161</v>
      </c>
    </row>
    <row r="54" spans="1:21" x14ac:dyDescent="0.25">
      <c r="A54" s="18" t="s">
        <v>158</v>
      </c>
      <c r="B54" s="18" t="s">
        <v>19</v>
      </c>
      <c r="C54" s="18" t="s">
        <v>20</v>
      </c>
      <c r="D54" s="18" t="s">
        <v>146</v>
      </c>
      <c r="E54" s="19" t="s">
        <v>169</v>
      </c>
      <c r="F54" s="18" t="s">
        <v>170</v>
      </c>
      <c r="G54" s="18" t="s">
        <v>24</v>
      </c>
      <c r="H54" s="9">
        <v>3608</v>
      </c>
      <c r="I54" s="56">
        <f t="shared" si="1"/>
        <v>27.06</v>
      </c>
      <c r="J54" s="21">
        <f>+H54+I54</f>
        <v>3635.06</v>
      </c>
      <c r="K54" s="53">
        <f t="shared" si="3"/>
        <v>3824.48</v>
      </c>
      <c r="L54" s="22">
        <f t="shared" si="0"/>
        <v>139.42000000000007</v>
      </c>
      <c r="M54" s="20">
        <v>50</v>
      </c>
      <c r="N54" s="12">
        <v>1</v>
      </c>
      <c r="O54" s="12">
        <v>0</v>
      </c>
      <c r="P54" s="12">
        <v>1</v>
      </c>
      <c r="Q54" s="12"/>
      <c r="R54" s="20">
        <v>0</v>
      </c>
      <c r="S54" s="12">
        <v>20</v>
      </c>
      <c r="T54" s="16">
        <f>+N54+O54+P54+R54+S54</f>
        <v>22</v>
      </c>
      <c r="U54" s="17" t="s">
        <v>161</v>
      </c>
    </row>
    <row r="55" spans="1:21" x14ac:dyDescent="0.25">
      <c r="A55" s="18" t="s">
        <v>158</v>
      </c>
      <c r="B55" s="18" t="s">
        <v>19</v>
      </c>
      <c r="C55" s="18" t="s">
        <v>20</v>
      </c>
      <c r="D55" s="18" t="s">
        <v>146</v>
      </c>
      <c r="E55" s="19" t="s">
        <v>171</v>
      </c>
      <c r="F55" s="18" t="s">
        <v>172</v>
      </c>
      <c r="G55" s="18" t="s">
        <v>24</v>
      </c>
      <c r="H55" s="9">
        <v>3907</v>
      </c>
      <c r="I55" s="56">
        <f t="shared" si="1"/>
        <v>29.302499999999998</v>
      </c>
      <c r="J55" s="21">
        <f t="shared" si="2"/>
        <v>3936.3024999999998</v>
      </c>
      <c r="K55" s="53">
        <f t="shared" si="3"/>
        <v>4141.42</v>
      </c>
      <c r="L55" s="22">
        <f t="shared" si="0"/>
        <v>175.11750000000029</v>
      </c>
      <c r="M55" s="20">
        <v>30</v>
      </c>
      <c r="N55" s="12">
        <v>0</v>
      </c>
      <c r="O55" s="12">
        <v>1</v>
      </c>
      <c r="P55" s="12">
        <v>0</v>
      </c>
      <c r="Q55" s="12"/>
      <c r="R55" s="20">
        <v>0</v>
      </c>
      <c r="S55" s="12">
        <v>6</v>
      </c>
      <c r="T55" s="16">
        <f>+N55+O55+P55+R55+S55</f>
        <v>7</v>
      </c>
      <c r="U55" s="17" t="s">
        <v>161</v>
      </c>
    </row>
    <row r="56" spans="1:21" x14ac:dyDescent="0.25">
      <c r="A56" s="18" t="s">
        <v>158</v>
      </c>
      <c r="B56" s="18" t="s">
        <v>19</v>
      </c>
      <c r="C56" s="18" t="s">
        <v>20</v>
      </c>
      <c r="D56" s="18" t="s">
        <v>146</v>
      </c>
      <c r="E56" s="19" t="s">
        <v>171</v>
      </c>
      <c r="F56" s="18" t="s">
        <v>172</v>
      </c>
      <c r="G56" s="18" t="s">
        <v>173</v>
      </c>
      <c r="H56" s="9">
        <v>3707</v>
      </c>
      <c r="I56" s="56">
        <f t="shared" si="1"/>
        <v>27.802499999999998</v>
      </c>
      <c r="J56" s="21">
        <f>+H56+I56</f>
        <v>3734.8024999999998</v>
      </c>
      <c r="K56" s="53">
        <f t="shared" si="3"/>
        <v>3929.42</v>
      </c>
      <c r="L56" s="22">
        <f t="shared" si="0"/>
        <v>144.61750000000029</v>
      </c>
      <c r="M56" s="20">
        <v>50</v>
      </c>
      <c r="N56" s="12">
        <v>1</v>
      </c>
      <c r="O56" s="12">
        <v>0</v>
      </c>
      <c r="P56" s="12">
        <v>0</v>
      </c>
      <c r="Q56" s="12"/>
      <c r="R56" s="20">
        <v>0</v>
      </c>
      <c r="S56" s="12">
        <v>8</v>
      </c>
      <c r="T56" s="16">
        <f>+N56+O56+P56+R56+S56</f>
        <v>9</v>
      </c>
      <c r="U56" s="17" t="s">
        <v>161</v>
      </c>
    </row>
    <row r="57" spans="1:21" x14ac:dyDescent="0.25">
      <c r="A57" s="18" t="s">
        <v>158</v>
      </c>
      <c r="B57" s="18" t="s">
        <v>19</v>
      </c>
      <c r="C57" s="18" t="s">
        <v>20</v>
      </c>
      <c r="D57" s="18" t="s">
        <v>21</v>
      </c>
      <c r="E57" s="19" t="s">
        <v>171</v>
      </c>
      <c r="F57" s="18" t="s">
        <v>174</v>
      </c>
      <c r="G57" s="18" t="s">
        <v>24</v>
      </c>
      <c r="H57" s="9">
        <v>3080</v>
      </c>
      <c r="I57" s="56">
        <f t="shared" si="1"/>
        <v>23.099999999999998</v>
      </c>
      <c r="J57" s="21">
        <f t="shared" si="2"/>
        <v>3103.1</v>
      </c>
      <c r="K57" s="53">
        <f t="shared" si="3"/>
        <v>3264.8</v>
      </c>
      <c r="L57" s="22">
        <f t="shared" si="0"/>
        <v>131.70000000000027</v>
      </c>
      <c r="M57" s="20">
        <v>30</v>
      </c>
      <c r="N57" s="12">
        <v>0</v>
      </c>
      <c r="O57" s="12">
        <v>0</v>
      </c>
      <c r="P57" s="12">
        <v>0</v>
      </c>
      <c r="Q57" s="12"/>
      <c r="R57" s="20">
        <v>0</v>
      </c>
      <c r="S57" s="12">
        <v>3</v>
      </c>
      <c r="T57" s="16">
        <f>+N57+O57+P57+R57+S57</f>
        <v>3</v>
      </c>
      <c r="U57" s="17" t="s">
        <v>161</v>
      </c>
    </row>
    <row r="58" spans="1:21" x14ac:dyDescent="0.25">
      <c r="A58" s="18" t="s">
        <v>158</v>
      </c>
      <c r="B58" s="18" t="s">
        <v>19</v>
      </c>
      <c r="C58" s="18" t="s">
        <v>20</v>
      </c>
      <c r="D58" s="18" t="s">
        <v>146</v>
      </c>
      <c r="E58" s="19" t="s">
        <v>171</v>
      </c>
      <c r="F58" s="18" t="s">
        <v>175</v>
      </c>
      <c r="G58" s="18" t="s">
        <v>24</v>
      </c>
      <c r="H58" s="9">
        <v>5980</v>
      </c>
      <c r="I58" s="56">
        <f t="shared" si="1"/>
        <v>44.85</v>
      </c>
      <c r="J58" s="21">
        <f t="shared" si="2"/>
        <v>6024.85</v>
      </c>
      <c r="K58" s="53">
        <f t="shared" si="3"/>
        <v>6338.8</v>
      </c>
      <c r="L58" s="22">
        <f t="shared" si="0"/>
        <v>263.94999999999982</v>
      </c>
      <c r="M58" s="20">
        <v>50</v>
      </c>
      <c r="N58" s="12">
        <v>0</v>
      </c>
      <c r="O58" s="12">
        <v>0</v>
      </c>
      <c r="P58" s="12">
        <v>0</v>
      </c>
      <c r="Q58" s="12"/>
      <c r="R58" s="20">
        <v>0</v>
      </c>
      <c r="S58" s="12">
        <v>5</v>
      </c>
      <c r="T58" s="16">
        <f>+N58+O58+P58+R58+S58</f>
        <v>5</v>
      </c>
      <c r="U58" s="17" t="s">
        <v>161</v>
      </c>
    </row>
    <row r="59" spans="1:21" x14ac:dyDescent="0.25">
      <c r="A59" s="18" t="s">
        <v>158</v>
      </c>
      <c r="B59" s="18" t="s">
        <v>19</v>
      </c>
      <c r="C59" s="18" t="s">
        <v>20</v>
      </c>
      <c r="D59" s="18" t="s">
        <v>21</v>
      </c>
      <c r="E59" s="19" t="s">
        <v>171</v>
      </c>
      <c r="F59" s="18" t="s">
        <v>176</v>
      </c>
      <c r="G59" s="18" t="s">
        <v>24</v>
      </c>
      <c r="H59" s="9">
        <v>3080</v>
      </c>
      <c r="I59" s="56">
        <f t="shared" si="1"/>
        <v>23.099999999999998</v>
      </c>
      <c r="J59" s="21">
        <f t="shared" si="2"/>
        <v>3103.1</v>
      </c>
      <c r="K59" s="53">
        <f t="shared" si="3"/>
        <v>3264.8</v>
      </c>
      <c r="L59" s="22">
        <f t="shared" si="0"/>
        <v>141.70000000000027</v>
      </c>
      <c r="M59" s="20">
        <v>20</v>
      </c>
      <c r="N59" s="12">
        <v>0</v>
      </c>
      <c r="O59" s="12">
        <v>1</v>
      </c>
      <c r="P59" s="12">
        <v>0</v>
      </c>
      <c r="Q59" s="12"/>
      <c r="R59" s="20">
        <v>0</v>
      </c>
      <c r="S59" s="12">
        <v>0</v>
      </c>
      <c r="T59" s="16">
        <f>+N59+O59+P59+R59+S59</f>
        <v>1</v>
      </c>
      <c r="U59" s="17" t="s">
        <v>161</v>
      </c>
    </row>
    <row r="60" spans="1:21" x14ac:dyDescent="0.25">
      <c r="A60" s="18" t="s">
        <v>158</v>
      </c>
      <c r="B60" s="18" t="s">
        <v>19</v>
      </c>
      <c r="C60" s="18" t="s">
        <v>48</v>
      </c>
      <c r="D60" s="18" t="s">
        <v>21</v>
      </c>
      <c r="E60" s="19" t="s">
        <v>177</v>
      </c>
      <c r="F60" s="18" t="s">
        <v>174</v>
      </c>
      <c r="G60" s="18" t="s">
        <v>39</v>
      </c>
      <c r="H60" s="9">
        <v>1470</v>
      </c>
      <c r="I60" s="56">
        <f t="shared" si="1"/>
        <v>11.025</v>
      </c>
      <c r="J60" s="21">
        <f t="shared" si="2"/>
        <v>1481.0250000000001</v>
      </c>
      <c r="K60" s="53">
        <v>1600</v>
      </c>
      <c r="L60" s="22">
        <f t="shared" si="0"/>
        <v>88.974999999999909</v>
      </c>
      <c r="M60" s="20">
        <v>30</v>
      </c>
      <c r="N60" s="12">
        <v>1</v>
      </c>
      <c r="O60" s="12">
        <v>0</v>
      </c>
      <c r="P60" s="12">
        <v>1</v>
      </c>
      <c r="Q60" s="12"/>
      <c r="R60" s="20">
        <v>0</v>
      </c>
      <c r="S60" s="12">
        <v>0</v>
      </c>
      <c r="T60" s="16">
        <f>+N60+O60+P60+R60+S60</f>
        <v>2</v>
      </c>
      <c r="U60" s="17" t="s">
        <v>161</v>
      </c>
    </row>
    <row r="61" spans="1:21" x14ac:dyDescent="0.25">
      <c r="A61" s="18" t="s">
        <v>158</v>
      </c>
      <c r="B61" s="18" t="s">
        <v>19</v>
      </c>
      <c r="C61" s="18" t="s">
        <v>48</v>
      </c>
      <c r="D61" s="18" t="s">
        <v>21</v>
      </c>
      <c r="E61" s="19" t="s">
        <v>177</v>
      </c>
      <c r="F61" s="18" t="s">
        <v>174</v>
      </c>
      <c r="G61" s="18" t="s">
        <v>24</v>
      </c>
      <c r="H61" s="9">
        <v>1470</v>
      </c>
      <c r="I61" s="56">
        <f t="shared" si="1"/>
        <v>11.025</v>
      </c>
      <c r="J61" s="21">
        <f t="shared" si="2"/>
        <v>1481.0250000000001</v>
      </c>
      <c r="K61" s="53">
        <v>1600</v>
      </c>
      <c r="L61" s="22">
        <f t="shared" si="0"/>
        <v>88.974999999999909</v>
      </c>
      <c r="M61" s="20">
        <v>30</v>
      </c>
      <c r="N61" s="12">
        <v>1</v>
      </c>
      <c r="O61" s="12">
        <v>0</v>
      </c>
      <c r="P61" s="12">
        <v>1</v>
      </c>
      <c r="Q61" s="12"/>
      <c r="R61" s="20">
        <v>0</v>
      </c>
      <c r="S61" s="12">
        <v>5</v>
      </c>
      <c r="T61" s="16">
        <f>+N61+O61+P61+R61+S61</f>
        <v>7</v>
      </c>
      <c r="U61" s="17" t="s">
        <v>161</v>
      </c>
    </row>
    <row r="62" spans="1:21" x14ac:dyDescent="0.25">
      <c r="A62" s="18" t="s">
        <v>158</v>
      </c>
      <c r="B62" s="18" t="s">
        <v>19</v>
      </c>
      <c r="C62" s="18" t="s">
        <v>48</v>
      </c>
      <c r="D62" s="18" t="s">
        <v>146</v>
      </c>
      <c r="E62" s="19" t="s">
        <v>177</v>
      </c>
      <c r="F62" s="18" t="s">
        <v>174</v>
      </c>
      <c r="G62" s="18" t="s">
        <v>24</v>
      </c>
      <c r="H62" s="9">
        <v>2001</v>
      </c>
      <c r="I62" s="56">
        <f t="shared" si="1"/>
        <v>15.0075</v>
      </c>
      <c r="J62" s="21">
        <f t="shared" si="2"/>
        <v>2016.0074999999999</v>
      </c>
      <c r="K62" s="53">
        <v>2200</v>
      </c>
      <c r="L62" s="22">
        <f t="shared" si="0"/>
        <v>153.99250000000006</v>
      </c>
      <c r="M62" s="20">
        <v>30</v>
      </c>
      <c r="N62" s="12">
        <v>1</v>
      </c>
      <c r="O62" s="12">
        <v>0</v>
      </c>
      <c r="P62" s="12">
        <v>1</v>
      </c>
      <c r="Q62" s="12"/>
      <c r="R62" s="20">
        <v>0</v>
      </c>
      <c r="S62" s="12">
        <v>18</v>
      </c>
      <c r="T62" s="16">
        <f>+N62+O62+P62+R62+S62</f>
        <v>20</v>
      </c>
      <c r="U62" s="17" t="s">
        <v>161</v>
      </c>
    </row>
    <row r="63" spans="1:21" x14ac:dyDescent="0.25">
      <c r="A63" s="18" t="s">
        <v>158</v>
      </c>
      <c r="B63" s="18" t="s">
        <v>19</v>
      </c>
      <c r="C63" s="18" t="s">
        <v>48</v>
      </c>
      <c r="D63" s="18" t="s">
        <v>146</v>
      </c>
      <c r="E63" s="19" t="s">
        <v>177</v>
      </c>
      <c r="F63" s="18" t="s">
        <v>175</v>
      </c>
      <c r="G63" s="18" t="s">
        <v>24</v>
      </c>
      <c r="H63" s="9">
        <v>2400</v>
      </c>
      <c r="I63" s="56">
        <f t="shared" si="1"/>
        <v>18</v>
      </c>
      <c r="J63" s="21">
        <f t="shared" si="2"/>
        <v>2418</v>
      </c>
      <c r="K63" s="53">
        <f t="shared" si="3"/>
        <v>2544</v>
      </c>
      <c r="L63" s="22">
        <f t="shared" si="0"/>
        <v>96</v>
      </c>
      <c r="M63" s="24">
        <v>30</v>
      </c>
      <c r="N63" s="25">
        <v>0</v>
      </c>
      <c r="O63" s="12">
        <v>0</v>
      </c>
      <c r="P63" s="12">
        <v>0</v>
      </c>
      <c r="Q63" s="12"/>
      <c r="R63" s="20">
        <v>0</v>
      </c>
      <c r="S63" s="12">
        <v>5</v>
      </c>
      <c r="T63" s="16">
        <f>+N63+O63+P63+R63+S63</f>
        <v>5</v>
      </c>
      <c r="U63" s="17" t="s">
        <v>161</v>
      </c>
    </row>
    <row r="64" spans="1:21" x14ac:dyDescent="0.25">
      <c r="A64" s="18" t="s">
        <v>178</v>
      </c>
      <c r="B64" s="18" t="s">
        <v>19</v>
      </c>
      <c r="C64" s="18" t="s">
        <v>20</v>
      </c>
      <c r="D64" s="18" t="s">
        <v>146</v>
      </c>
      <c r="E64" s="19" t="s">
        <v>179</v>
      </c>
      <c r="F64" s="18" t="s">
        <v>180</v>
      </c>
      <c r="G64" s="18" t="s">
        <v>166</v>
      </c>
      <c r="H64" s="9">
        <v>3300</v>
      </c>
      <c r="I64" s="56">
        <f t="shared" si="1"/>
        <v>24.75</v>
      </c>
      <c r="J64" s="21">
        <f t="shared" si="2"/>
        <v>3324.75</v>
      </c>
      <c r="K64" s="53">
        <v>3600</v>
      </c>
      <c r="L64" s="22">
        <f t="shared" si="0"/>
        <v>225.25</v>
      </c>
      <c r="M64" s="20">
        <v>50</v>
      </c>
      <c r="N64" s="12">
        <v>0</v>
      </c>
      <c r="O64" s="12">
        <v>0</v>
      </c>
      <c r="P64" s="12">
        <v>1</v>
      </c>
      <c r="Q64" s="12"/>
      <c r="R64" s="20">
        <v>0</v>
      </c>
      <c r="S64" s="12">
        <v>2</v>
      </c>
      <c r="T64" s="16">
        <f>+N64+O64+P64+R64+S64</f>
        <v>3</v>
      </c>
      <c r="U64" s="17" t="s">
        <v>68</v>
      </c>
    </row>
    <row r="65" spans="1:21" x14ac:dyDescent="0.25">
      <c r="A65" s="18" t="s">
        <v>181</v>
      </c>
      <c r="B65" s="18" t="s">
        <v>182</v>
      </c>
      <c r="C65" s="18" t="s">
        <v>48</v>
      </c>
      <c r="D65" s="18" t="s">
        <v>49</v>
      </c>
      <c r="E65" s="19" t="s">
        <v>183</v>
      </c>
      <c r="F65" s="18" t="s">
        <v>184</v>
      </c>
      <c r="G65" s="18" t="s">
        <v>57</v>
      </c>
      <c r="H65" s="9">
        <v>3300</v>
      </c>
      <c r="I65" s="56">
        <f t="shared" si="1"/>
        <v>24.75</v>
      </c>
      <c r="J65" s="21">
        <f>+H65+I65</f>
        <v>3324.75</v>
      </c>
      <c r="K65" s="53">
        <v>3600</v>
      </c>
      <c r="L65" s="22">
        <f t="shared" si="0"/>
        <v>225.25</v>
      </c>
      <c r="M65" s="20">
        <v>50</v>
      </c>
      <c r="N65" s="12">
        <v>0</v>
      </c>
      <c r="O65" s="12">
        <v>1</v>
      </c>
      <c r="P65" s="12">
        <v>1</v>
      </c>
      <c r="Q65" s="12"/>
      <c r="R65" s="20">
        <v>0</v>
      </c>
      <c r="S65" s="12">
        <v>9</v>
      </c>
      <c r="T65" s="16">
        <f>+N65+O65+P65+R65+S65</f>
        <v>11</v>
      </c>
      <c r="U65" s="17" t="s">
        <v>185</v>
      </c>
    </row>
    <row r="66" spans="1:21" x14ac:dyDescent="0.25">
      <c r="A66" s="7" t="s">
        <v>181</v>
      </c>
      <c r="B66" s="7" t="s">
        <v>87</v>
      </c>
      <c r="C66" s="7" t="s">
        <v>92</v>
      </c>
      <c r="D66" s="7"/>
      <c r="E66" s="8" t="s">
        <v>186</v>
      </c>
      <c r="F66" s="7" t="s">
        <v>187</v>
      </c>
      <c r="G66" s="7" t="s">
        <v>57</v>
      </c>
      <c r="H66" s="9">
        <v>2700</v>
      </c>
      <c r="I66" s="56">
        <f t="shared" si="1"/>
        <v>20.25</v>
      </c>
      <c r="J66" s="11">
        <f>+H66+I66</f>
        <v>2720.25</v>
      </c>
      <c r="K66" s="53">
        <f t="shared" si="3"/>
        <v>2862</v>
      </c>
      <c r="L66" s="13">
        <f t="shared" si="0"/>
        <v>111.75</v>
      </c>
      <c r="M66" s="10">
        <v>30</v>
      </c>
      <c r="N66" s="12">
        <v>0</v>
      </c>
      <c r="O66" s="12">
        <v>1</v>
      </c>
      <c r="P66" s="12">
        <v>0</v>
      </c>
      <c r="Q66" s="12"/>
      <c r="R66" s="20">
        <v>0</v>
      </c>
      <c r="S66" s="12">
        <v>9</v>
      </c>
      <c r="T66" s="16">
        <f>+N66+O66+P66+R66+S66</f>
        <v>10</v>
      </c>
      <c r="U66" s="17" t="s">
        <v>185</v>
      </c>
    </row>
    <row r="67" spans="1:21" x14ac:dyDescent="0.25">
      <c r="A67" s="7" t="s">
        <v>181</v>
      </c>
      <c r="B67" s="7" t="s">
        <v>87</v>
      </c>
      <c r="C67" s="7" t="s">
        <v>92</v>
      </c>
      <c r="D67" s="7"/>
      <c r="E67" s="8" t="s">
        <v>97</v>
      </c>
      <c r="F67" s="7" t="s">
        <v>188</v>
      </c>
      <c r="G67" s="7" t="s">
        <v>57</v>
      </c>
      <c r="H67" s="9">
        <v>3400</v>
      </c>
      <c r="I67" s="56">
        <f t="shared" ref="I67:I130" si="4">+(H67*0.75%)</f>
        <v>25.5</v>
      </c>
      <c r="J67" s="11">
        <f>+H67+I67</f>
        <v>3425.5</v>
      </c>
      <c r="K67" s="53">
        <f t="shared" ref="K67:K130" si="5">+((H67*6%)+H67)</f>
        <v>3604</v>
      </c>
      <c r="L67" s="13">
        <f t="shared" si="0"/>
        <v>148.5</v>
      </c>
      <c r="M67" s="10">
        <v>30</v>
      </c>
      <c r="N67" s="12">
        <v>0</v>
      </c>
      <c r="O67" s="12">
        <v>1</v>
      </c>
      <c r="P67" s="12">
        <v>0</v>
      </c>
      <c r="Q67" s="12"/>
      <c r="R67" s="20">
        <v>0</v>
      </c>
      <c r="S67" s="12">
        <v>8</v>
      </c>
      <c r="T67" s="16">
        <f>+N67+O67+P67+R67+S67</f>
        <v>9</v>
      </c>
      <c r="U67" s="17" t="s">
        <v>185</v>
      </c>
    </row>
    <row r="68" spans="1:21" x14ac:dyDescent="0.25">
      <c r="A68" s="7" t="s">
        <v>181</v>
      </c>
      <c r="B68" s="7" t="s">
        <v>87</v>
      </c>
      <c r="C68" s="7" t="s">
        <v>92</v>
      </c>
      <c r="D68" s="7"/>
      <c r="E68" s="8" t="s">
        <v>186</v>
      </c>
      <c r="F68" s="7" t="s">
        <v>189</v>
      </c>
      <c r="G68" s="7" t="s">
        <v>57</v>
      </c>
      <c r="H68" s="9">
        <v>4100</v>
      </c>
      <c r="I68" s="56">
        <f t="shared" si="4"/>
        <v>30.75</v>
      </c>
      <c r="J68" s="11">
        <f>+H68+I68</f>
        <v>4130.75</v>
      </c>
      <c r="K68" s="53">
        <f t="shared" si="5"/>
        <v>4346</v>
      </c>
      <c r="L68" s="13">
        <f t="shared" ref="L68:L135" si="6">+K68-J68-M68</f>
        <v>185.25</v>
      </c>
      <c r="M68" s="10">
        <v>30</v>
      </c>
      <c r="N68" s="12">
        <v>0</v>
      </c>
      <c r="O68" s="12">
        <v>1</v>
      </c>
      <c r="P68" s="12">
        <v>1</v>
      </c>
      <c r="Q68" s="12"/>
      <c r="R68" s="20">
        <v>0</v>
      </c>
      <c r="S68" s="12">
        <v>7</v>
      </c>
      <c r="T68" s="16">
        <f>+N68+O68+P68+R68+S68</f>
        <v>9</v>
      </c>
      <c r="U68" s="17" t="s">
        <v>190</v>
      </c>
    </row>
    <row r="69" spans="1:21" x14ac:dyDescent="0.25">
      <c r="A69" s="18" t="s">
        <v>181</v>
      </c>
      <c r="B69" s="18" t="s">
        <v>87</v>
      </c>
      <c r="C69" s="18" t="s">
        <v>92</v>
      </c>
      <c r="D69" s="18" t="s">
        <v>132</v>
      </c>
      <c r="E69" s="19" t="s">
        <v>97</v>
      </c>
      <c r="F69" s="18" t="s">
        <v>191</v>
      </c>
      <c r="G69" s="18" t="s">
        <v>57</v>
      </c>
      <c r="H69" s="9">
        <v>4200</v>
      </c>
      <c r="I69" s="56">
        <f t="shared" si="4"/>
        <v>31.5</v>
      </c>
      <c r="J69" s="21">
        <f t="shared" si="2"/>
        <v>4231.5</v>
      </c>
      <c r="K69" s="53">
        <f t="shared" si="5"/>
        <v>4452</v>
      </c>
      <c r="L69" s="22">
        <f t="shared" si="6"/>
        <v>170.5</v>
      </c>
      <c r="M69" s="20">
        <v>50</v>
      </c>
      <c r="N69" s="12">
        <v>0</v>
      </c>
      <c r="O69" s="12">
        <v>1</v>
      </c>
      <c r="P69" s="12">
        <v>1</v>
      </c>
      <c r="Q69" s="12"/>
      <c r="R69" s="20">
        <v>0</v>
      </c>
      <c r="S69" s="12">
        <v>1</v>
      </c>
      <c r="T69" s="16">
        <f>+N69+O69+P69+R69+S69</f>
        <v>3</v>
      </c>
      <c r="U69" s="17" t="s">
        <v>190</v>
      </c>
    </row>
    <row r="70" spans="1:21" x14ac:dyDescent="0.25">
      <c r="A70" s="18" t="s">
        <v>181</v>
      </c>
      <c r="B70" s="18" t="s">
        <v>87</v>
      </c>
      <c r="C70" s="18" t="s">
        <v>92</v>
      </c>
      <c r="D70" s="18" t="s">
        <v>192</v>
      </c>
      <c r="E70" s="19" t="s">
        <v>193</v>
      </c>
      <c r="F70" s="18" t="s">
        <v>194</v>
      </c>
      <c r="G70" s="18" t="s">
        <v>57</v>
      </c>
      <c r="H70" s="9">
        <v>3800</v>
      </c>
      <c r="I70" s="56">
        <f t="shared" si="4"/>
        <v>28.5</v>
      </c>
      <c r="J70" s="21">
        <f t="shared" si="2"/>
        <v>3828.5</v>
      </c>
      <c r="K70" s="53">
        <f t="shared" si="5"/>
        <v>4028</v>
      </c>
      <c r="L70" s="22">
        <f t="shared" si="6"/>
        <v>149.5</v>
      </c>
      <c r="M70" s="20">
        <v>50</v>
      </c>
      <c r="N70" s="12">
        <v>0</v>
      </c>
      <c r="O70" s="12">
        <v>1</v>
      </c>
      <c r="P70" s="12">
        <v>1</v>
      </c>
      <c r="Q70" s="12"/>
      <c r="R70" s="20">
        <v>0</v>
      </c>
      <c r="S70" s="12">
        <v>12</v>
      </c>
      <c r="T70" s="16">
        <f>+N70+O70+P70+R70+S70</f>
        <v>14</v>
      </c>
      <c r="U70" s="17" t="s">
        <v>190</v>
      </c>
    </row>
    <row r="71" spans="1:21" x14ac:dyDescent="0.25">
      <c r="A71" s="18" t="s">
        <v>181</v>
      </c>
      <c r="B71" s="18" t="s">
        <v>87</v>
      </c>
      <c r="C71" s="18" t="s">
        <v>92</v>
      </c>
      <c r="D71" s="18" t="s">
        <v>195</v>
      </c>
      <c r="E71" s="19" t="s">
        <v>196</v>
      </c>
      <c r="F71" s="18" t="s">
        <v>197</v>
      </c>
      <c r="G71" s="18" t="s">
        <v>57</v>
      </c>
      <c r="H71" s="9">
        <v>15700</v>
      </c>
      <c r="I71" s="56">
        <f t="shared" si="4"/>
        <v>117.75</v>
      </c>
      <c r="J71" s="21">
        <f t="shared" si="2"/>
        <v>15817.75</v>
      </c>
      <c r="K71" s="53">
        <f t="shared" si="5"/>
        <v>16642</v>
      </c>
      <c r="L71" s="22">
        <f t="shared" si="6"/>
        <v>724.25</v>
      </c>
      <c r="M71" s="20">
        <v>100</v>
      </c>
      <c r="N71" s="12">
        <v>1</v>
      </c>
      <c r="O71" s="12">
        <v>0</v>
      </c>
      <c r="P71" s="12">
        <v>0</v>
      </c>
      <c r="Q71" s="12"/>
      <c r="R71" s="20">
        <v>0</v>
      </c>
      <c r="S71" s="12">
        <v>4</v>
      </c>
      <c r="T71" s="16">
        <f>+N71+O71+P71+R71+S71</f>
        <v>5</v>
      </c>
      <c r="U71" s="17" t="s">
        <v>190</v>
      </c>
    </row>
    <row r="72" spans="1:21" x14ac:dyDescent="0.25">
      <c r="A72" s="18" t="s">
        <v>181</v>
      </c>
      <c r="B72" s="18" t="s">
        <v>87</v>
      </c>
      <c r="C72" s="18" t="s">
        <v>138</v>
      </c>
      <c r="D72" s="18" t="s">
        <v>198</v>
      </c>
      <c r="E72" s="19" t="s">
        <v>199</v>
      </c>
      <c r="F72" s="18" t="s">
        <v>200</v>
      </c>
      <c r="G72" s="18" t="s">
        <v>57</v>
      </c>
      <c r="H72" s="9">
        <v>18300</v>
      </c>
      <c r="I72" s="56">
        <f t="shared" si="4"/>
        <v>137.25</v>
      </c>
      <c r="J72" s="21">
        <f t="shared" ref="J72:J145" si="7">+H72+I72</f>
        <v>18437.25</v>
      </c>
      <c r="K72" s="53">
        <f t="shared" si="5"/>
        <v>19398</v>
      </c>
      <c r="L72" s="22">
        <f t="shared" si="6"/>
        <v>860.75</v>
      </c>
      <c r="M72" s="20">
        <v>100</v>
      </c>
      <c r="N72" s="12">
        <v>0</v>
      </c>
      <c r="O72" s="12">
        <v>1</v>
      </c>
      <c r="P72" s="12">
        <v>0</v>
      </c>
      <c r="Q72" s="12"/>
      <c r="R72" s="20">
        <v>0</v>
      </c>
      <c r="S72" s="12">
        <v>3</v>
      </c>
      <c r="T72" s="16">
        <f>+N72+O72+P72+R72+S72</f>
        <v>4</v>
      </c>
      <c r="U72" s="17" t="s">
        <v>190</v>
      </c>
    </row>
    <row r="73" spans="1:21" x14ac:dyDescent="0.25">
      <c r="A73" s="18" t="s">
        <v>181</v>
      </c>
      <c r="B73" s="18" t="s">
        <v>78</v>
      </c>
      <c r="C73" s="18" t="s">
        <v>83</v>
      </c>
      <c r="D73" s="18" t="s">
        <v>201</v>
      </c>
      <c r="E73" s="19" t="s">
        <v>85</v>
      </c>
      <c r="F73" s="18" t="s">
        <v>202</v>
      </c>
      <c r="G73" s="18" t="s">
        <v>166</v>
      </c>
      <c r="H73" s="9">
        <v>2200</v>
      </c>
      <c r="I73" s="56">
        <f t="shared" si="4"/>
        <v>16.5</v>
      </c>
      <c r="J73" s="21">
        <f t="shared" si="7"/>
        <v>2216.5</v>
      </c>
      <c r="K73" s="53">
        <f t="shared" si="5"/>
        <v>2332</v>
      </c>
      <c r="L73" s="22">
        <f t="shared" si="6"/>
        <v>115.5</v>
      </c>
      <c r="M73" s="20">
        <v>0</v>
      </c>
      <c r="N73" s="12">
        <v>0</v>
      </c>
      <c r="O73" s="12">
        <v>0</v>
      </c>
      <c r="P73" s="12">
        <v>0</v>
      </c>
      <c r="Q73" s="12"/>
      <c r="R73" s="20">
        <v>0</v>
      </c>
      <c r="S73" s="12">
        <v>1</v>
      </c>
      <c r="T73" s="16">
        <f>+N73+O73+P73+R73+S73</f>
        <v>1</v>
      </c>
      <c r="U73" s="17" t="s">
        <v>190</v>
      </c>
    </row>
    <row r="74" spans="1:21" x14ac:dyDescent="0.25">
      <c r="A74" s="18" t="s">
        <v>181</v>
      </c>
      <c r="B74" s="18" t="s">
        <v>78</v>
      </c>
      <c r="C74" s="18" t="s">
        <v>83</v>
      </c>
      <c r="D74" s="18" t="s">
        <v>203</v>
      </c>
      <c r="E74" s="19" t="s">
        <v>85</v>
      </c>
      <c r="F74" s="18" t="s">
        <v>204</v>
      </c>
      <c r="G74" s="18" t="s">
        <v>166</v>
      </c>
      <c r="H74" s="9">
        <v>1800</v>
      </c>
      <c r="I74" s="56">
        <f t="shared" si="4"/>
        <v>13.5</v>
      </c>
      <c r="J74" s="21">
        <f t="shared" si="7"/>
        <v>1813.5</v>
      </c>
      <c r="K74" s="53">
        <v>2000</v>
      </c>
      <c r="L74" s="22">
        <f t="shared" si="6"/>
        <v>136.5</v>
      </c>
      <c r="M74" s="20">
        <v>50</v>
      </c>
      <c r="N74" s="12">
        <v>1</v>
      </c>
      <c r="O74" s="12">
        <v>1</v>
      </c>
      <c r="P74" s="12">
        <v>1</v>
      </c>
      <c r="Q74" s="12"/>
      <c r="R74" s="20">
        <v>0</v>
      </c>
      <c r="S74" s="12">
        <v>13</v>
      </c>
      <c r="T74" s="16">
        <f>+N74+O74+P74+R74+S74</f>
        <v>16</v>
      </c>
      <c r="U74" s="17" t="s">
        <v>190</v>
      </c>
    </row>
    <row r="75" spans="1:21" x14ac:dyDescent="0.25">
      <c r="A75" s="7" t="s">
        <v>181</v>
      </c>
      <c r="B75" s="7" t="s">
        <v>205</v>
      </c>
      <c r="C75" s="7" t="s">
        <v>79</v>
      </c>
      <c r="D75" s="7" t="s">
        <v>206</v>
      </c>
      <c r="E75" s="8" t="s">
        <v>81</v>
      </c>
      <c r="F75" s="7" t="s">
        <v>207</v>
      </c>
      <c r="G75" s="7" t="s">
        <v>166</v>
      </c>
      <c r="H75" s="9">
        <v>7000</v>
      </c>
      <c r="I75" s="56">
        <f t="shared" si="4"/>
        <v>52.5</v>
      </c>
      <c r="J75" s="11">
        <f>+H75+I75</f>
        <v>7052.5</v>
      </c>
      <c r="K75" s="53">
        <f t="shared" si="5"/>
        <v>7420</v>
      </c>
      <c r="L75" s="13">
        <f>+K75-J75-M75</f>
        <v>317.5</v>
      </c>
      <c r="M75" s="10">
        <v>50</v>
      </c>
      <c r="N75" s="12">
        <v>1</v>
      </c>
      <c r="O75" s="12">
        <v>0</v>
      </c>
      <c r="P75" s="12">
        <v>1</v>
      </c>
      <c r="Q75" s="12"/>
      <c r="R75" s="20">
        <v>0</v>
      </c>
      <c r="S75" s="12">
        <v>3</v>
      </c>
      <c r="T75" s="16">
        <f>+N75+O75+P75+R75+S75</f>
        <v>5</v>
      </c>
      <c r="U75" s="17" t="s">
        <v>190</v>
      </c>
    </row>
    <row r="76" spans="1:21" x14ac:dyDescent="0.25">
      <c r="A76" s="7" t="s">
        <v>181</v>
      </c>
      <c r="B76" s="7" t="s">
        <v>78</v>
      </c>
      <c r="C76" s="7" t="s">
        <v>79</v>
      </c>
      <c r="D76" s="7" t="s">
        <v>208</v>
      </c>
      <c r="E76" s="8" t="s">
        <v>81</v>
      </c>
      <c r="F76" s="7" t="s">
        <v>209</v>
      </c>
      <c r="G76" s="7" t="s">
        <v>39</v>
      </c>
      <c r="H76" s="9">
        <v>3100</v>
      </c>
      <c r="I76" s="56">
        <f t="shared" si="4"/>
        <v>23.25</v>
      </c>
      <c r="J76" s="11">
        <f t="shared" si="7"/>
        <v>3123.25</v>
      </c>
      <c r="K76" s="53">
        <f t="shared" si="5"/>
        <v>3286</v>
      </c>
      <c r="L76" s="13">
        <f t="shared" si="6"/>
        <v>112.75</v>
      </c>
      <c r="M76" s="10">
        <v>50</v>
      </c>
      <c r="N76" s="12">
        <v>1</v>
      </c>
      <c r="O76" s="12">
        <v>1</v>
      </c>
      <c r="P76" s="12">
        <v>1</v>
      </c>
      <c r="Q76" s="12"/>
      <c r="R76" s="20">
        <v>0</v>
      </c>
      <c r="S76" s="12">
        <v>27</v>
      </c>
      <c r="T76" s="16">
        <f>+N76+O76+P76+R76+S76</f>
        <v>30</v>
      </c>
      <c r="U76" s="17" t="s">
        <v>190</v>
      </c>
    </row>
    <row r="77" spans="1:21" x14ac:dyDescent="0.25">
      <c r="A77" s="18" t="s">
        <v>181</v>
      </c>
      <c r="B77" s="18" t="s">
        <v>52</v>
      </c>
      <c r="C77" s="18" t="s">
        <v>53</v>
      </c>
      <c r="D77" s="18" t="s">
        <v>49</v>
      </c>
      <c r="E77" s="19" t="s">
        <v>55</v>
      </c>
      <c r="F77" s="18" t="s">
        <v>49</v>
      </c>
      <c r="G77" s="18" t="s">
        <v>57</v>
      </c>
      <c r="H77" s="9">
        <v>723</v>
      </c>
      <c r="I77" s="56">
        <f t="shared" si="4"/>
        <v>5.4224999999999994</v>
      </c>
      <c r="J77" s="21">
        <f t="shared" si="7"/>
        <v>728.42250000000001</v>
      </c>
      <c r="K77" s="53">
        <v>800</v>
      </c>
      <c r="L77" s="22">
        <f t="shared" si="6"/>
        <v>41.577499999999986</v>
      </c>
      <c r="M77" s="20">
        <v>30</v>
      </c>
      <c r="N77" s="12">
        <v>1</v>
      </c>
      <c r="O77" s="12">
        <v>0</v>
      </c>
      <c r="P77" s="12">
        <v>0</v>
      </c>
      <c r="Q77" s="12"/>
      <c r="R77" s="20">
        <v>0</v>
      </c>
      <c r="S77" s="12">
        <v>17</v>
      </c>
      <c r="T77" s="16">
        <f>+N77+O77+P77+R77+S77</f>
        <v>18</v>
      </c>
      <c r="U77" s="17" t="s">
        <v>190</v>
      </c>
    </row>
    <row r="78" spans="1:21" x14ac:dyDescent="0.25">
      <c r="A78" s="18" t="s">
        <v>181</v>
      </c>
      <c r="B78" s="18" t="s">
        <v>52</v>
      </c>
      <c r="C78" s="18" t="s">
        <v>53</v>
      </c>
      <c r="D78" s="18" t="s">
        <v>111</v>
      </c>
      <c r="E78" s="19" t="s">
        <v>55</v>
      </c>
      <c r="F78" s="18" t="s">
        <v>111</v>
      </c>
      <c r="G78" s="18" t="s">
        <v>210</v>
      </c>
      <c r="H78" s="9">
        <v>595</v>
      </c>
      <c r="I78" s="56">
        <f t="shared" si="4"/>
        <v>4.4624999999999995</v>
      </c>
      <c r="J78" s="21">
        <f>+H78+I78</f>
        <v>599.46249999999998</v>
      </c>
      <c r="K78" s="53">
        <v>700</v>
      </c>
      <c r="L78" s="22">
        <f t="shared" si="6"/>
        <v>70.537500000000023</v>
      </c>
      <c r="M78" s="20">
        <v>30</v>
      </c>
      <c r="N78" s="12">
        <v>0</v>
      </c>
      <c r="O78" s="12">
        <v>0</v>
      </c>
      <c r="P78" s="12">
        <v>1</v>
      </c>
      <c r="Q78" s="12"/>
      <c r="R78" s="20">
        <v>0</v>
      </c>
      <c r="S78" s="12">
        <v>2</v>
      </c>
      <c r="T78" s="16">
        <f>+N78+O78+P78+R78+S78</f>
        <v>3</v>
      </c>
      <c r="U78" s="17" t="s">
        <v>190</v>
      </c>
    </row>
    <row r="79" spans="1:21" x14ac:dyDescent="0.25">
      <c r="A79" s="18" t="s">
        <v>181</v>
      </c>
      <c r="B79" s="18" t="s">
        <v>52</v>
      </c>
      <c r="C79" s="18" t="s">
        <v>53</v>
      </c>
      <c r="D79" s="18" t="s">
        <v>111</v>
      </c>
      <c r="E79" s="19" t="s">
        <v>55</v>
      </c>
      <c r="F79" s="18" t="s">
        <v>111</v>
      </c>
      <c r="G79" s="18" t="s">
        <v>57</v>
      </c>
      <c r="H79" s="9">
        <v>850</v>
      </c>
      <c r="I79" s="56">
        <f t="shared" si="4"/>
        <v>6.375</v>
      </c>
      <c r="J79" s="21">
        <f t="shared" si="7"/>
        <v>856.375</v>
      </c>
      <c r="K79" s="53">
        <v>1000</v>
      </c>
      <c r="L79" s="22">
        <f t="shared" si="6"/>
        <v>113.625</v>
      </c>
      <c r="M79" s="20">
        <v>30</v>
      </c>
      <c r="N79" s="12">
        <v>2</v>
      </c>
      <c r="O79" s="12">
        <v>0</v>
      </c>
      <c r="P79" s="12">
        <v>0</v>
      </c>
      <c r="Q79" s="12"/>
      <c r="R79" s="20">
        <v>0</v>
      </c>
      <c r="S79" s="12">
        <v>8</v>
      </c>
      <c r="T79" s="16">
        <f>+N79+O79+P79+R79+S79</f>
        <v>10</v>
      </c>
      <c r="U79" s="17" t="s">
        <v>190</v>
      </c>
    </row>
    <row r="80" spans="1:21" x14ac:dyDescent="0.25">
      <c r="A80" s="18" t="s">
        <v>181</v>
      </c>
      <c r="B80" s="18" t="s">
        <v>211</v>
      </c>
      <c r="C80" s="18" t="s">
        <v>212</v>
      </c>
      <c r="D80" s="18"/>
      <c r="E80" s="19" t="s">
        <v>213</v>
      </c>
      <c r="F80" s="18" t="s">
        <v>214</v>
      </c>
      <c r="G80" s="18" t="s">
        <v>215</v>
      </c>
      <c r="H80" s="9">
        <v>80</v>
      </c>
      <c r="I80" s="56">
        <f t="shared" si="4"/>
        <v>0.6</v>
      </c>
      <c r="J80" s="21">
        <f t="shared" si="7"/>
        <v>80.599999999999994</v>
      </c>
      <c r="K80" s="53">
        <v>120</v>
      </c>
      <c r="L80" s="22">
        <f t="shared" si="6"/>
        <v>34.400000000000006</v>
      </c>
      <c r="M80" s="20">
        <v>5</v>
      </c>
      <c r="N80" s="12">
        <v>1</v>
      </c>
      <c r="O80" s="12">
        <v>0</v>
      </c>
      <c r="P80" s="12">
        <v>0</v>
      </c>
      <c r="Q80" s="12"/>
      <c r="R80" s="20">
        <v>0</v>
      </c>
      <c r="S80" s="12">
        <v>16</v>
      </c>
      <c r="T80" s="16">
        <f>+N80+O80+P80+R80+S80</f>
        <v>17</v>
      </c>
      <c r="U80" s="17" t="s">
        <v>190</v>
      </c>
    </row>
    <row r="81" spans="1:21" x14ac:dyDescent="0.25">
      <c r="A81" s="7" t="s">
        <v>181</v>
      </c>
      <c r="B81" s="7" t="s">
        <v>63</v>
      </c>
      <c r="C81" s="7" t="s">
        <v>64</v>
      </c>
      <c r="D81" s="7" t="s">
        <v>216</v>
      </c>
      <c r="E81" s="8" t="s">
        <v>217</v>
      </c>
      <c r="F81" s="7" t="s">
        <v>218</v>
      </c>
      <c r="G81" s="7" t="s">
        <v>39</v>
      </c>
      <c r="H81" s="9">
        <v>2200</v>
      </c>
      <c r="I81" s="56">
        <f t="shared" si="4"/>
        <v>16.5</v>
      </c>
      <c r="J81" s="11">
        <f>+H81+I81</f>
        <v>2216.5</v>
      </c>
      <c r="K81" s="53">
        <f t="shared" si="5"/>
        <v>2332</v>
      </c>
      <c r="L81" s="13">
        <f t="shared" si="6"/>
        <v>85.5</v>
      </c>
      <c r="M81" s="10">
        <v>30</v>
      </c>
      <c r="N81" s="12">
        <v>0</v>
      </c>
      <c r="O81" s="12">
        <v>1</v>
      </c>
      <c r="P81" s="12">
        <v>0</v>
      </c>
      <c r="Q81" s="12"/>
      <c r="R81" s="20">
        <v>0</v>
      </c>
      <c r="S81" s="12">
        <v>31</v>
      </c>
      <c r="T81" s="16">
        <f>+N81+O81+P81+R81+S81</f>
        <v>32</v>
      </c>
      <c r="U81" s="17" t="s">
        <v>190</v>
      </c>
    </row>
    <row r="82" spans="1:21" x14ac:dyDescent="0.25">
      <c r="A82" s="7" t="s">
        <v>181</v>
      </c>
      <c r="B82" s="7" t="s">
        <v>63</v>
      </c>
      <c r="C82" s="7" t="s">
        <v>64</v>
      </c>
      <c r="D82" s="7" t="s">
        <v>89</v>
      </c>
      <c r="E82" s="8" t="s">
        <v>217</v>
      </c>
      <c r="F82" s="7" t="s">
        <v>219</v>
      </c>
      <c r="G82" s="7" t="s">
        <v>39</v>
      </c>
      <c r="H82" s="9">
        <v>2900</v>
      </c>
      <c r="I82" s="56">
        <f t="shared" si="4"/>
        <v>21.75</v>
      </c>
      <c r="J82" s="11">
        <f>+H82+I82</f>
        <v>2921.75</v>
      </c>
      <c r="K82" s="53">
        <f t="shared" si="5"/>
        <v>3074</v>
      </c>
      <c r="L82" s="13">
        <f t="shared" si="6"/>
        <v>122.25</v>
      </c>
      <c r="M82" s="10">
        <v>30</v>
      </c>
      <c r="N82" s="12">
        <v>0</v>
      </c>
      <c r="O82" s="12">
        <v>1</v>
      </c>
      <c r="P82" s="12">
        <v>1</v>
      </c>
      <c r="Q82" s="12"/>
      <c r="R82" s="20">
        <v>0</v>
      </c>
      <c r="S82" s="12">
        <v>27</v>
      </c>
      <c r="T82" s="16">
        <f>+N82+O82+P82+R82+S82</f>
        <v>29</v>
      </c>
      <c r="U82" s="17" t="s">
        <v>190</v>
      </c>
    </row>
    <row r="83" spans="1:21" x14ac:dyDescent="0.25">
      <c r="A83" s="18" t="s">
        <v>181</v>
      </c>
      <c r="B83" s="18" t="s">
        <v>19</v>
      </c>
      <c r="C83" s="18" t="s">
        <v>48</v>
      </c>
      <c r="D83" s="18" t="s">
        <v>146</v>
      </c>
      <c r="E83" s="19" t="s">
        <v>220</v>
      </c>
      <c r="F83" s="18" t="s">
        <v>221</v>
      </c>
      <c r="G83" s="18" t="s">
        <v>57</v>
      </c>
      <c r="H83" s="9">
        <v>2500</v>
      </c>
      <c r="I83" s="56">
        <f t="shared" si="4"/>
        <v>18.75</v>
      </c>
      <c r="J83" s="21">
        <f t="shared" si="7"/>
        <v>2518.75</v>
      </c>
      <c r="K83" s="53">
        <f t="shared" si="5"/>
        <v>2650</v>
      </c>
      <c r="L83" s="22">
        <f t="shared" si="6"/>
        <v>81.25</v>
      </c>
      <c r="M83" s="20">
        <v>50</v>
      </c>
      <c r="N83" s="12">
        <v>1</v>
      </c>
      <c r="O83" s="12">
        <v>0</v>
      </c>
      <c r="P83" s="12">
        <v>0</v>
      </c>
      <c r="Q83" s="12"/>
      <c r="R83" s="20">
        <v>0</v>
      </c>
      <c r="S83" s="12">
        <v>0</v>
      </c>
      <c r="T83" s="16">
        <f>+N83+O83+P83+R83+S83</f>
        <v>1</v>
      </c>
      <c r="U83" s="17" t="s">
        <v>190</v>
      </c>
    </row>
    <row r="84" spans="1:21" x14ac:dyDescent="0.25">
      <c r="A84" s="18" t="s">
        <v>222</v>
      </c>
      <c r="B84" s="18" t="s">
        <v>223</v>
      </c>
      <c r="C84" s="18"/>
      <c r="D84" s="18"/>
      <c r="E84" s="19"/>
      <c r="F84" s="18" t="s">
        <v>224</v>
      </c>
      <c r="G84" s="18" t="s">
        <v>129</v>
      </c>
      <c r="H84" s="9">
        <v>380</v>
      </c>
      <c r="I84" s="56">
        <f t="shared" si="4"/>
        <v>2.85</v>
      </c>
      <c r="J84" s="21">
        <f t="shared" si="7"/>
        <v>382.85</v>
      </c>
      <c r="K84" s="53">
        <v>450</v>
      </c>
      <c r="L84" s="22">
        <f t="shared" si="6"/>
        <v>57.149999999999977</v>
      </c>
      <c r="M84" s="16">
        <v>10</v>
      </c>
      <c r="N84" s="15">
        <v>0</v>
      </c>
      <c r="O84" s="15">
        <v>0</v>
      </c>
      <c r="P84" s="15">
        <v>0</v>
      </c>
      <c r="Q84" s="15"/>
      <c r="R84" s="16">
        <v>0</v>
      </c>
      <c r="S84" s="15">
        <v>5</v>
      </c>
      <c r="T84" s="16">
        <f>+N84+O84+P84+R84+S84</f>
        <v>5</v>
      </c>
      <c r="U84" s="17" t="s">
        <v>225</v>
      </c>
    </row>
    <row r="85" spans="1:21" x14ac:dyDescent="0.25">
      <c r="A85" s="7" t="s">
        <v>226</v>
      </c>
      <c r="B85" s="7" t="s">
        <v>19</v>
      </c>
      <c r="C85" s="7" t="s">
        <v>20</v>
      </c>
      <c r="D85" s="7" t="s">
        <v>21</v>
      </c>
      <c r="E85" s="8" t="s">
        <v>227</v>
      </c>
      <c r="F85" s="7" t="s">
        <v>228</v>
      </c>
      <c r="G85" s="7" t="s">
        <v>57</v>
      </c>
      <c r="H85" s="9">
        <v>1281</v>
      </c>
      <c r="I85" s="56">
        <f t="shared" si="4"/>
        <v>9.6074999999999999</v>
      </c>
      <c r="J85" s="11">
        <f t="shared" si="7"/>
        <v>1290.6075000000001</v>
      </c>
      <c r="K85" s="53">
        <f t="shared" si="5"/>
        <v>1357.86</v>
      </c>
      <c r="L85" s="13">
        <f t="shared" si="6"/>
        <v>37.252499999999827</v>
      </c>
      <c r="M85" s="14">
        <v>30</v>
      </c>
      <c r="N85" s="15">
        <v>1</v>
      </c>
      <c r="O85" s="15">
        <v>0</v>
      </c>
      <c r="P85" s="15">
        <v>0</v>
      </c>
      <c r="Q85" s="15"/>
      <c r="R85" s="16">
        <v>0</v>
      </c>
      <c r="S85" s="15">
        <v>19</v>
      </c>
      <c r="T85" s="16">
        <f>+N85+O85+P85+R85+S85</f>
        <v>20</v>
      </c>
      <c r="U85" s="17" t="s">
        <v>229</v>
      </c>
    </row>
    <row r="86" spans="1:21" x14ac:dyDescent="0.25">
      <c r="A86" s="18" t="s">
        <v>226</v>
      </c>
      <c r="B86" s="18" t="s">
        <v>19</v>
      </c>
      <c r="C86" s="18" t="s">
        <v>20</v>
      </c>
      <c r="D86" s="18" t="s">
        <v>21</v>
      </c>
      <c r="E86" s="19" t="s">
        <v>230</v>
      </c>
      <c r="F86" s="18" t="s">
        <v>231</v>
      </c>
      <c r="G86" s="18" t="s">
        <v>57</v>
      </c>
      <c r="H86" s="9">
        <v>1490</v>
      </c>
      <c r="I86" s="56">
        <f t="shared" si="4"/>
        <v>11.174999999999999</v>
      </c>
      <c r="J86" s="21">
        <f>+H86+I86</f>
        <v>1501.175</v>
      </c>
      <c r="K86" s="53">
        <f t="shared" si="5"/>
        <v>1579.4</v>
      </c>
      <c r="L86" s="22">
        <f>+K86-J86-M86</f>
        <v>58.225000000000136</v>
      </c>
      <c r="M86" s="16">
        <v>20</v>
      </c>
      <c r="N86" s="15">
        <v>0</v>
      </c>
      <c r="O86" s="15">
        <v>0</v>
      </c>
      <c r="P86" s="15">
        <v>1</v>
      </c>
      <c r="Q86" s="15"/>
      <c r="R86" s="16">
        <v>0</v>
      </c>
      <c r="S86" s="15">
        <v>2</v>
      </c>
      <c r="T86" s="16">
        <f>+N86+O86+P86+R86+S86</f>
        <v>3</v>
      </c>
      <c r="U86" s="17" t="s">
        <v>229</v>
      </c>
    </row>
    <row r="87" spans="1:21" x14ac:dyDescent="0.25">
      <c r="A87" s="7" t="s">
        <v>226</v>
      </c>
      <c r="B87" s="7" t="s">
        <v>19</v>
      </c>
      <c r="C87" s="7" t="s">
        <v>20</v>
      </c>
      <c r="D87" s="7" t="s">
        <v>21</v>
      </c>
      <c r="E87" s="8" t="s">
        <v>232</v>
      </c>
      <c r="F87" s="7" t="s">
        <v>233</v>
      </c>
      <c r="G87" s="7" t="s">
        <v>57</v>
      </c>
      <c r="H87" s="9">
        <v>1965</v>
      </c>
      <c r="I87" s="56">
        <f t="shared" si="4"/>
        <v>14.737499999999999</v>
      </c>
      <c r="J87" s="11">
        <f t="shared" si="7"/>
        <v>1979.7375</v>
      </c>
      <c r="K87" s="53">
        <f t="shared" si="5"/>
        <v>2082.9</v>
      </c>
      <c r="L87" s="13">
        <f t="shared" si="6"/>
        <v>73.162500000000136</v>
      </c>
      <c r="M87" s="14">
        <v>30</v>
      </c>
      <c r="N87" s="15">
        <v>0</v>
      </c>
      <c r="O87" s="15">
        <v>0</v>
      </c>
      <c r="P87" s="15">
        <v>0</v>
      </c>
      <c r="Q87" s="15"/>
      <c r="R87" s="16">
        <v>0</v>
      </c>
      <c r="S87" s="15">
        <v>19</v>
      </c>
      <c r="T87" s="16">
        <f>+N87+O87+P87+R87+S87</f>
        <v>19</v>
      </c>
      <c r="U87" s="17" t="s">
        <v>229</v>
      </c>
    </row>
    <row r="88" spans="1:21" x14ac:dyDescent="0.25">
      <c r="A88" s="18" t="s">
        <v>226</v>
      </c>
      <c r="B88" s="18" t="s">
        <v>19</v>
      </c>
      <c r="C88" s="18" t="s">
        <v>20</v>
      </c>
      <c r="D88" s="18" t="s">
        <v>21</v>
      </c>
      <c r="E88" s="19" t="s">
        <v>232</v>
      </c>
      <c r="F88" s="18" t="s">
        <v>234</v>
      </c>
      <c r="G88" s="18" t="s">
        <v>57</v>
      </c>
      <c r="H88" s="9">
        <v>2450</v>
      </c>
      <c r="I88" s="56">
        <f t="shared" si="4"/>
        <v>18.375</v>
      </c>
      <c r="J88" s="21">
        <f t="shared" si="7"/>
        <v>2468.375</v>
      </c>
      <c r="K88" s="53">
        <f t="shared" si="5"/>
        <v>2597</v>
      </c>
      <c r="L88" s="22">
        <f t="shared" si="6"/>
        <v>108.625</v>
      </c>
      <c r="M88" s="16">
        <v>20</v>
      </c>
      <c r="N88" s="15"/>
      <c r="O88" s="15"/>
      <c r="P88" s="15"/>
      <c r="Q88" s="15"/>
      <c r="R88" s="16"/>
      <c r="S88" s="15"/>
      <c r="T88" s="16">
        <f>+N88+O88+P88+R88+S88</f>
        <v>0</v>
      </c>
      <c r="U88" s="17" t="s">
        <v>229</v>
      </c>
    </row>
    <row r="89" spans="1:21" x14ac:dyDescent="0.25">
      <c r="A89" s="7" t="s">
        <v>226</v>
      </c>
      <c r="B89" s="7" t="s">
        <v>78</v>
      </c>
      <c r="C89" s="7" t="s">
        <v>83</v>
      </c>
      <c r="D89" s="7" t="s">
        <v>235</v>
      </c>
      <c r="E89" s="8" t="s">
        <v>85</v>
      </c>
      <c r="F89" s="7" t="s">
        <v>236</v>
      </c>
      <c r="G89" s="7" t="s">
        <v>24</v>
      </c>
      <c r="H89" s="9">
        <v>2717</v>
      </c>
      <c r="I89" s="56">
        <f t="shared" si="4"/>
        <v>20.377499999999998</v>
      </c>
      <c r="J89" s="11">
        <f t="shared" si="7"/>
        <v>2737.3775000000001</v>
      </c>
      <c r="K89" s="53">
        <f t="shared" si="5"/>
        <v>2880.02</v>
      </c>
      <c r="L89" s="13">
        <f t="shared" si="6"/>
        <v>112.64249999999993</v>
      </c>
      <c r="M89" s="10">
        <v>30</v>
      </c>
      <c r="N89" s="12">
        <v>0</v>
      </c>
      <c r="O89" s="12">
        <v>1</v>
      </c>
      <c r="P89" s="12">
        <v>0</v>
      </c>
      <c r="Q89" s="12"/>
      <c r="R89" s="20">
        <v>0</v>
      </c>
      <c r="S89" s="12">
        <v>1</v>
      </c>
      <c r="T89" s="16">
        <f>+N89+O89+P89+R89+S89</f>
        <v>2</v>
      </c>
      <c r="U89" s="17" t="s">
        <v>229</v>
      </c>
    </row>
    <row r="90" spans="1:21" x14ac:dyDescent="0.25">
      <c r="A90" s="7" t="s">
        <v>226</v>
      </c>
      <c r="B90" s="7" t="s">
        <v>78</v>
      </c>
      <c r="C90" s="7" t="s">
        <v>83</v>
      </c>
      <c r="D90" s="7" t="s">
        <v>237</v>
      </c>
      <c r="E90" s="8" t="s">
        <v>85</v>
      </c>
      <c r="F90" s="7" t="s">
        <v>238</v>
      </c>
      <c r="G90" s="7" t="s">
        <v>24</v>
      </c>
      <c r="H90" s="9">
        <v>3644</v>
      </c>
      <c r="I90" s="56">
        <f t="shared" si="4"/>
        <v>27.33</v>
      </c>
      <c r="J90" s="11">
        <f t="shared" si="7"/>
        <v>3671.33</v>
      </c>
      <c r="K90" s="53">
        <f t="shared" si="5"/>
        <v>3862.64</v>
      </c>
      <c r="L90" s="13">
        <f t="shared" si="6"/>
        <v>161.30999999999995</v>
      </c>
      <c r="M90" s="10">
        <v>30</v>
      </c>
      <c r="N90" s="12">
        <v>0</v>
      </c>
      <c r="O90" s="12">
        <v>0</v>
      </c>
      <c r="P90" s="12">
        <v>0</v>
      </c>
      <c r="Q90" s="12"/>
      <c r="R90" s="20">
        <v>0</v>
      </c>
      <c r="S90" s="12">
        <v>3</v>
      </c>
      <c r="T90" s="16">
        <f>+N90+O90+P90+R90+S90</f>
        <v>3</v>
      </c>
      <c r="U90" s="17" t="s">
        <v>229</v>
      </c>
    </row>
    <row r="91" spans="1:21" x14ac:dyDescent="0.25">
      <c r="A91" s="7" t="s">
        <v>226</v>
      </c>
      <c r="B91" s="7" t="s">
        <v>78</v>
      </c>
      <c r="C91" s="7" t="s">
        <v>83</v>
      </c>
      <c r="D91" s="7" t="s">
        <v>239</v>
      </c>
      <c r="E91" s="8" t="s">
        <v>85</v>
      </c>
      <c r="F91" s="7" t="s">
        <v>240</v>
      </c>
      <c r="G91" s="7" t="s">
        <v>24</v>
      </c>
      <c r="H91" s="9">
        <v>4519</v>
      </c>
      <c r="I91" s="56">
        <f t="shared" si="4"/>
        <v>33.892499999999998</v>
      </c>
      <c r="J91" s="11">
        <f t="shared" si="7"/>
        <v>4552.8924999999999</v>
      </c>
      <c r="K91" s="53">
        <f t="shared" si="5"/>
        <v>4790.1400000000003</v>
      </c>
      <c r="L91" s="13">
        <f t="shared" si="6"/>
        <v>187.2475000000004</v>
      </c>
      <c r="M91" s="10">
        <v>50</v>
      </c>
      <c r="N91" s="12">
        <v>0</v>
      </c>
      <c r="O91" s="12">
        <v>1</v>
      </c>
      <c r="P91" s="12">
        <v>0</v>
      </c>
      <c r="Q91" s="12"/>
      <c r="R91" s="20">
        <v>0</v>
      </c>
      <c r="S91" s="12">
        <v>0</v>
      </c>
      <c r="T91" s="16">
        <f>+N91+O91+P91+R91+S91</f>
        <v>1</v>
      </c>
      <c r="U91" s="17" t="s">
        <v>229</v>
      </c>
    </row>
    <row r="92" spans="1:21" x14ac:dyDescent="0.25">
      <c r="A92" s="7" t="s">
        <v>226</v>
      </c>
      <c r="B92" s="7" t="s">
        <v>52</v>
      </c>
      <c r="C92" s="7" t="s">
        <v>53</v>
      </c>
      <c r="D92" s="7" t="s">
        <v>49</v>
      </c>
      <c r="E92" s="8" t="s">
        <v>241</v>
      </c>
      <c r="F92" s="7" t="s">
        <v>242</v>
      </c>
      <c r="G92" s="7" t="s">
        <v>57</v>
      </c>
      <c r="H92" s="9">
        <v>1036</v>
      </c>
      <c r="I92" s="56">
        <f t="shared" si="4"/>
        <v>7.77</v>
      </c>
      <c r="J92" s="11">
        <f t="shared" si="7"/>
        <v>1043.77</v>
      </c>
      <c r="K92" s="53">
        <v>1200</v>
      </c>
      <c r="L92" s="13">
        <f t="shared" si="6"/>
        <v>136.23000000000002</v>
      </c>
      <c r="M92" s="10">
        <v>20</v>
      </c>
      <c r="N92" s="12">
        <v>0</v>
      </c>
      <c r="O92" s="12">
        <v>0</v>
      </c>
      <c r="P92" s="12">
        <v>0</v>
      </c>
      <c r="Q92" s="12"/>
      <c r="R92" s="20">
        <v>0</v>
      </c>
      <c r="S92" s="12">
        <v>5</v>
      </c>
      <c r="T92" s="16">
        <f>+N92+O92+P92+R92+S92</f>
        <v>5</v>
      </c>
      <c r="U92" s="17" t="s">
        <v>229</v>
      </c>
    </row>
    <row r="93" spans="1:21" x14ac:dyDescent="0.25">
      <c r="A93" s="7" t="s">
        <v>226</v>
      </c>
      <c r="B93" s="7" t="s">
        <v>52</v>
      </c>
      <c r="C93" s="7" t="s">
        <v>53</v>
      </c>
      <c r="D93" s="7" t="s">
        <v>243</v>
      </c>
      <c r="E93" s="8" t="s">
        <v>241</v>
      </c>
      <c r="F93" s="7" t="s">
        <v>244</v>
      </c>
      <c r="G93" s="7" t="s">
        <v>57</v>
      </c>
      <c r="H93" s="9">
        <v>1075</v>
      </c>
      <c r="I93" s="56">
        <f t="shared" si="4"/>
        <v>8.0625</v>
      </c>
      <c r="J93" s="11">
        <f t="shared" si="7"/>
        <v>1083.0625</v>
      </c>
      <c r="K93" s="53">
        <v>1300</v>
      </c>
      <c r="L93" s="13">
        <f t="shared" si="6"/>
        <v>196.9375</v>
      </c>
      <c r="M93" s="10">
        <v>20</v>
      </c>
      <c r="N93" s="12">
        <v>0</v>
      </c>
      <c r="O93" s="12">
        <v>0</v>
      </c>
      <c r="P93" s="12">
        <v>0</v>
      </c>
      <c r="Q93" s="12"/>
      <c r="R93" s="20">
        <v>0</v>
      </c>
      <c r="S93" s="12">
        <v>5</v>
      </c>
      <c r="T93" s="16">
        <f>+N93+O93+P93+R93+S93</f>
        <v>5</v>
      </c>
      <c r="U93" s="17" t="s">
        <v>229</v>
      </c>
    </row>
    <row r="94" spans="1:21" x14ac:dyDescent="0.25">
      <c r="A94" s="7" t="s">
        <v>226</v>
      </c>
      <c r="B94" s="7" t="s">
        <v>52</v>
      </c>
      <c r="C94" s="7" t="s">
        <v>53</v>
      </c>
      <c r="D94" s="7" t="s">
        <v>111</v>
      </c>
      <c r="E94" s="8" t="s">
        <v>241</v>
      </c>
      <c r="F94" s="7" t="s">
        <v>245</v>
      </c>
      <c r="G94" s="7" t="s">
        <v>57</v>
      </c>
      <c r="H94" s="9">
        <v>1225</v>
      </c>
      <c r="I94" s="56">
        <f t="shared" si="4"/>
        <v>9.1875</v>
      </c>
      <c r="J94" s="11">
        <f t="shared" si="7"/>
        <v>1234.1875</v>
      </c>
      <c r="K94" s="53">
        <v>1400</v>
      </c>
      <c r="L94" s="13">
        <f t="shared" si="6"/>
        <v>145.8125</v>
      </c>
      <c r="M94" s="10">
        <v>20</v>
      </c>
      <c r="N94" s="12">
        <v>1</v>
      </c>
      <c r="O94" s="12">
        <v>0</v>
      </c>
      <c r="P94" s="12">
        <v>0</v>
      </c>
      <c r="Q94" s="12"/>
      <c r="R94" s="20">
        <v>0</v>
      </c>
      <c r="S94" s="12">
        <v>5</v>
      </c>
      <c r="T94" s="16">
        <f>+N94+O94+P94+R94+S94</f>
        <v>6</v>
      </c>
      <c r="U94" s="17" t="s">
        <v>229</v>
      </c>
    </row>
    <row r="95" spans="1:21" x14ac:dyDescent="0.25">
      <c r="A95" s="7" t="s">
        <v>226</v>
      </c>
      <c r="B95" s="7" t="s">
        <v>52</v>
      </c>
      <c r="C95" s="7" t="s">
        <v>53</v>
      </c>
      <c r="D95" s="7" t="s">
        <v>49</v>
      </c>
      <c r="E95" s="8" t="s">
        <v>241</v>
      </c>
      <c r="F95" s="7" t="s">
        <v>246</v>
      </c>
      <c r="G95" s="7" t="s">
        <v>24</v>
      </c>
      <c r="H95" s="9">
        <v>1060</v>
      </c>
      <c r="I95" s="56">
        <f t="shared" si="4"/>
        <v>7.9499999999999993</v>
      </c>
      <c r="J95" s="11">
        <f t="shared" si="7"/>
        <v>1067.95</v>
      </c>
      <c r="K95" s="53">
        <v>1200</v>
      </c>
      <c r="L95" s="13">
        <f t="shared" si="6"/>
        <v>112.04999999999995</v>
      </c>
      <c r="M95" s="10">
        <v>20</v>
      </c>
      <c r="N95" s="12">
        <v>0</v>
      </c>
      <c r="O95" s="12">
        <v>0</v>
      </c>
      <c r="P95" s="12">
        <v>0</v>
      </c>
      <c r="Q95" s="12"/>
      <c r="R95" s="20">
        <v>0</v>
      </c>
      <c r="S95" s="12">
        <v>15</v>
      </c>
      <c r="T95" s="16">
        <f>+N95+O95+P95+R95+S95</f>
        <v>15</v>
      </c>
      <c r="U95" s="17" t="s">
        <v>229</v>
      </c>
    </row>
    <row r="96" spans="1:21" x14ac:dyDescent="0.25">
      <c r="A96" s="7" t="s">
        <v>226</v>
      </c>
      <c r="B96" s="7" t="s">
        <v>52</v>
      </c>
      <c r="C96" s="7" t="s">
        <v>53</v>
      </c>
      <c r="D96" s="7" t="s">
        <v>243</v>
      </c>
      <c r="E96" s="8" t="s">
        <v>241</v>
      </c>
      <c r="F96" s="7" t="s">
        <v>247</v>
      </c>
      <c r="G96" s="7" t="s">
        <v>24</v>
      </c>
      <c r="H96" s="9">
        <v>1125</v>
      </c>
      <c r="I96" s="56">
        <f t="shared" si="4"/>
        <v>8.4375</v>
      </c>
      <c r="J96" s="11">
        <f t="shared" si="7"/>
        <v>1133.4375</v>
      </c>
      <c r="K96" s="53">
        <v>1300</v>
      </c>
      <c r="L96" s="13">
        <f t="shared" si="6"/>
        <v>146.5625</v>
      </c>
      <c r="M96" s="10">
        <v>20</v>
      </c>
      <c r="N96" s="12">
        <v>0</v>
      </c>
      <c r="O96" s="12">
        <v>0</v>
      </c>
      <c r="P96" s="12">
        <v>0</v>
      </c>
      <c r="Q96" s="12"/>
      <c r="R96" s="20">
        <v>0</v>
      </c>
      <c r="S96" s="12">
        <v>15</v>
      </c>
      <c r="T96" s="16">
        <f>+N96+O96+P96+R96+S96</f>
        <v>15</v>
      </c>
      <c r="U96" s="17" t="s">
        <v>229</v>
      </c>
    </row>
    <row r="97" spans="1:21" x14ac:dyDescent="0.25">
      <c r="A97" s="7" t="s">
        <v>226</v>
      </c>
      <c r="B97" s="7" t="s">
        <v>52</v>
      </c>
      <c r="C97" s="7" t="s">
        <v>53</v>
      </c>
      <c r="D97" s="7" t="s">
        <v>111</v>
      </c>
      <c r="E97" s="8" t="s">
        <v>241</v>
      </c>
      <c r="F97" s="7" t="s">
        <v>248</v>
      </c>
      <c r="G97" s="7" t="s">
        <v>24</v>
      </c>
      <c r="H97" s="9">
        <v>1225</v>
      </c>
      <c r="I97" s="56">
        <f t="shared" si="4"/>
        <v>9.1875</v>
      </c>
      <c r="J97" s="11">
        <f t="shared" si="7"/>
        <v>1234.1875</v>
      </c>
      <c r="K97" s="53">
        <v>1400</v>
      </c>
      <c r="L97" s="13">
        <f t="shared" si="6"/>
        <v>145.8125</v>
      </c>
      <c r="M97" s="10">
        <v>20</v>
      </c>
      <c r="N97" s="12">
        <v>1</v>
      </c>
      <c r="O97" s="12">
        <v>0</v>
      </c>
      <c r="P97" s="12">
        <v>0</v>
      </c>
      <c r="Q97" s="12"/>
      <c r="R97" s="20">
        <v>0</v>
      </c>
      <c r="S97" s="12">
        <v>12</v>
      </c>
      <c r="T97" s="16">
        <f>+N97+O97+P97+R97+S97</f>
        <v>13</v>
      </c>
      <c r="U97" s="17" t="s">
        <v>229</v>
      </c>
    </row>
    <row r="98" spans="1:21" x14ac:dyDescent="0.25">
      <c r="A98" s="7" t="s">
        <v>249</v>
      </c>
      <c r="B98" s="7" t="s">
        <v>78</v>
      </c>
      <c r="C98" s="7" t="s">
        <v>79</v>
      </c>
      <c r="D98" s="7" t="s">
        <v>208</v>
      </c>
      <c r="E98" s="8" t="s">
        <v>81</v>
      </c>
      <c r="F98" s="7" t="s">
        <v>250</v>
      </c>
      <c r="G98" s="7" t="s">
        <v>39</v>
      </c>
      <c r="H98" s="9">
        <v>5100</v>
      </c>
      <c r="I98" s="56">
        <f t="shared" si="4"/>
        <v>38.25</v>
      </c>
      <c r="J98" s="11">
        <f t="shared" si="7"/>
        <v>5138.25</v>
      </c>
      <c r="K98" s="53">
        <f t="shared" si="5"/>
        <v>5406</v>
      </c>
      <c r="L98" s="13">
        <f t="shared" si="6"/>
        <v>267.75</v>
      </c>
      <c r="M98" s="10">
        <v>0</v>
      </c>
      <c r="N98" s="12">
        <v>1</v>
      </c>
      <c r="O98" s="12">
        <v>0</v>
      </c>
      <c r="P98" s="12">
        <v>0</v>
      </c>
      <c r="Q98" s="12"/>
      <c r="R98" s="20">
        <v>0</v>
      </c>
      <c r="S98" s="12">
        <v>0</v>
      </c>
      <c r="T98" s="16">
        <f>+N98+O98+P98+R98+S98</f>
        <v>1</v>
      </c>
      <c r="U98" s="17" t="s">
        <v>185</v>
      </c>
    </row>
    <row r="99" spans="1:21" x14ac:dyDescent="0.25">
      <c r="A99" s="18" t="s">
        <v>251</v>
      </c>
      <c r="B99" s="18" t="s">
        <v>19</v>
      </c>
      <c r="C99" s="18" t="s">
        <v>20</v>
      </c>
      <c r="D99" s="18" t="s">
        <v>21</v>
      </c>
      <c r="E99" s="19" t="s">
        <v>252</v>
      </c>
      <c r="F99" s="18" t="s">
        <v>253</v>
      </c>
      <c r="G99" s="18" t="s">
        <v>57</v>
      </c>
      <c r="H99" s="9">
        <v>3700</v>
      </c>
      <c r="I99" s="56">
        <f t="shared" si="4"/>
        <v>27.75</v>
      </c>
      <c r="J99" s="21">
        <f t="shared" si="7"/>
        <v>3727.75</v>
      </c>
      <c r="K99" s="53">
        <f t="shared" si="5"/>
        <v>3922</v>
      </c>
      <c r="L99" s="22">
        <f t="shared" si="6"/>
        <v>144.25</v>
      </c>
      <c r="M99" s="20">
        <v>50</v>
      </c>
      <c r="N99" s="12">
        <v>0</v>
      </c>
      <c r="O99" s="12">
        <v>0</v>
      </c>
      <c r="P99" s="12">
        <v>0</v>
      </c>
      <c r="Q99" s="12"/>
      <c r="R99" s="20">
        <v>0</v>
      </c>
      <c r="S99" s="12">
        <v>0</v>
      </c>
      <c r="T99" s="16">
        <f>+N99+O99+P99+R99+S99</f>
        <v>0</v>
      </c>
      <c r="U99" s="17" t="s">
        <v>25</v>
      </c>
    </row>
    <row r="100" spans="1:21" x14ac:dyDescent="0.25">
      <c r="A100" s="7" t="s">
        <v>254</v>
      </c>
      <c r="B100" s="7" t="s">
        <v>19</v>
      </c>
      <c r="C100" s="7" t="s">
        <v>20</v>
      </c>
      <c r="D100" s="7" t="s">
        <v>21</v>
      </c>
      <c r="E100" s="8" t="s">
        <v>179</v>
      </c>
      <c r="F100" s="7" t="s">
        <v>255</v>
      </c>
      <c r="G100" s="7" t="s">
        <v>57</v>
      </c>
      <c r="H100" s="9">
        <v>3800</v>
      </c>
      <c r="I100" s="56">
        <f t="shared" si="4"/>
        <v>28.5</v>
      </c>
      <c r="J100" s="11">
        <f t="shared" si="7"/>
        <v>3828.5</v>
      </c>
      <c r="K100" s="53">
        <f t="shared" si="5"/>
        <v>4028</v>
      </c>
      <c r="L100" s="13">
        <f t="shared" si="6"/>
        <v>169.5</v>
      </c>
      <c r="M100" s="10">
        <v>30</v>
      </c>
      <c r="N100" s="12">
        <v>0</v>
      </c>
      <c r="O100" s="12">
        <v>1</v>
      </c>
      <c r="P100" s="12">
        <v>1</v>
      </c>
      <c r="Q100" s="12"/>
      <c r="R100" s="20">
        <v>0</v>
      </c>
      <c r="S100" s="12">
        <v>4</v>
      </c>
      <c r="T100" s="16">
        <f>+N100+O100+P100+R100+S100</f>
        <v>6</v>
      </c>
      <c r="U100" s="17" t="s">
        <v>256</v>
      </c>
    </row>
    <row r="101" spans="1:21" x14ac:dyDescent="0.25">
      <c r="A101" s="18" t="s">
        <v>257</v>
      </c>
      <c r="B101" s="18" t="s">
        <v>19</v>
      </c>
      <c r="C101" s="18" t="s">
        <v>20</v>
      </c>
      <c r="D101" s="18" t="s">
        <v>21</v>
      </c>
      <c r="E101" s="19" t="s">
        <v>258</v>
      </c>
      <c r="F101" s="18" t="s">
        <v>259</v>
      </c>
      <c r="G101" s="18" t="s">
        <v>57</v>
      </c>
      <c r="H101" s="9">
        <v>1850</v>
      </c>
      <c r="I101" s="56">
        <f t="shared" si="4"/>
        <v>13.875</v>
      </c>
      <c r="J101" s="21">
        <f t="shared" si="7"/>
        <v>1863.875</v>
      </c>
      <c r="K101" s="53">
        <f t="shared" si="5"/>
        <v>1961</v>
      </c>
      <c r="L101" s="22">
        <f t="shared" si="6"/>
        <v>67.125</v>
      </c>
      <c r="M101" s="20">
        <v>30</v>
      </c>
      <c r="N101" s="12">
        <v>0</v>
      </c>
      <c r="O101" s="12">
        <v>0</v>
      </c>
      <c r="P101" s="12">
        <v>0</v>
      </c>
      <c r="Q101" s="12"/>
      <c r="R101" s="20">
        <v>0</v>
      </c>
      <c r="S101" s="12">
        <v>10</v>
      </c>
      <c r="T101" s="16">
        <f>+N101+O101+P101+R101+S101</f>
        <v>10</v>
      </c>
      <c r="U101" s="17" t="s">
        <v>256</v>
      </c>
    </row>
    <row r="102" spans="1:21" x14ac:dyDescent="0.25">
      <c r="A102" s="18" t="s">
        <v>254</v>
      </c>
      <c r="B102" s="18" t="s">
        <v>19</v>
      </c>
      <c r="C102" s="18" t="s">
        <v>20</v>
      </c>
      <c r="D102" s="18" t="s">
        <v>146</v>
      </c>
      <c r="E102" s="19" t="s">
        <v>258</v>
      </c>
      <c r="F102" s="18" t="s">
        <v>260</v>
      </c>
      <c r="G102" s="18" t="s">
        <v>57</v>
      </c>
      <c r="H102" s="9">
        <v>2100</v>
      </c>
      <c r="I102" s="56">
        <f t="shared" si="4"/>
        <v>15.75</v>
      </c>
      <c r="J102" s="21">
        <f t="shared" si="7"/>
        <v>2115.75</v>
      </c>
      <c r="K102" s="53">
        <f t="shared" si="5"/>
        <v>2226</v>
      </c>
      <c r="L102" s="22">
        <f t="shared" si="6"/>
        <v>80.25</v>
      </c>
      <c r="M102" s="20">
        <v>30</v>
      </c>
      <c r="N102" s="12">
        <v>0</v>
      </c>
      <c r="O102" s="12">
        <v>0</v>
      </c>
      <c r="P102" s="12">
        <v>0</v>
      </c>
      <c r="Q102" s="12"/>
      <c r="R102" s="20">
        <v>0</v>
      </c>
      <c r="S102" s="12">
        <v>2</v>
      </c>
      <c r="T102" s="16">
        <f>+N102+O102+P102+R102+S102</f>
        <v>2</v>
      </c>
      <c r="U102" s="17" t="s">
        <v>256</v>
      </c>
    </row>
    <row r="103" spans="1:21" x14ac:dyDescent="0.25">
      <c r="A103" s="7" t="s">
        <v>261</v>
      </c>
      <c r="B103" s="7" t="s">
        <v>63</v>
      </c>
      <c r="C103" s="7" t="s">
        <v>64</v>
      </c>
      <c r="D103" s="7" t="s">
        <v>262</v>
      </c>
      <c r="E103" s="8" t="s">
        <v>263</v>
      </c>
      <c r="F103" s="7" t="s">
        <v>264</v>
      </c>
      <c r="G103" s="7" t="s">
        <v>39</v>
      </c>
      <c r="H103" s="9">
        <v>5985</v>
      </c>
      <c r="I103" s="56">
        <f t="shared" si="4"/>
        <v>44.887499999999996</v>
      </c>
      <c r="J103" s="11">
        <f t="shared" si="7"/>
        <v>6029.8874999999998</v>
      </c>
      <c r="K103" s="53">
        <f t="shared" si="5"/>
        <v>6344.1</v>
      </c>
      <c r="L103" s="13">
        <f t="shared" si="6"/>
        <v>264.21250000000055</v>
      </c>
      <c r="M103" s="10">
        <v>50</v>
      </c>
      <c r="N103" s="12">
        <v>0</v>
      </c>
      <c r="O103" s="12">
        <v>0</v>
      </c>
      <c r="P103" s="12">
        <v>0</v>
      </c>
      <c r="Q103" s="12"/>
      <c r="R103" s="20">
        <v>0</v>
      </c>
      <c r="S103" s="12">
        <v>4</v>
      </c>
      <c r="T103" s="16">
        <f>+N103+O103+P103+R103+S103</f>
        <v>4</v>
      </c>
      <c r="U103" s="17" t="s">
        <v>25</v>
      </c>
    </row>
    <row r="104" spans="1:21" x14ac:dyDescent="0.25">
      <c r="A104" s="7" t="s">
        <v>261</v>
      </c>
      <c r="B104" s="7" t="s">
        <v>63</v>
      </c>
      <c r="C104" s="7" t="s">
        <v>64</v>
      </c>
      <c r="D104" s="7" t="s">
        <v>265</v>
      </c>
      <c r="E104" s="8" t="s">
        <v>263</v>
      </c>
      <c r="F104" s="7" t="s">
        <v>266</v>
      </c>
      <c r="G104" s="7" t="s">
        <v>39</v>
      </c>
      <c r="H104" s="9">
        <v>5950</v>
      </c>
      <c r="I104" s="56">
        <f t="shared" si="4"/>
        <v>44.625</v>
      </c>
      <c r="J104" s="11">
        <f t="shared" si="7"/>
        <v>5994.625</v>
      </c>
      <c r="K104" s="53">
        <f t="shared" si="5"/>
        <v>6307</v>
      </c>
      <c r="L104" s="13">
        <f t="shared" si="6"/>
        <v>262.375</v>
      </c>
      <c r="M104" s="10">
        <v>50</v>
      </c>
      <c r="N104" s="12">
        <v>1</v>
      </c>
      <c r="O104" s="12">
        <v>0</v>
      </c>
      <c r="P104" s="12">
        <v>0</v>
      </c>
      <c r="Q104" s="12"/>
      <c r="R104" s="20">
        <v>0</v>
      </c>
      <c r="S104" s="12">
        <v>10</v>
      </c>
      <c r="T104" s="16">
        <f>+N104+O104+P104+R104+S104</f>
        <v>11</v>
      </c>
      <c r="U104" s="17" t="s">
        <v>25</v>
      </c>
    </row>
    <row r="105" spans="1:21" x14ac:dyDescent="0.25">
      <c r="A105" s="18" t="s">
        <v>267</v>
      </c>
      <c r="B105" s="18" t="s">
        <v>268</v>
      </c>
      <c r="C105" s="18" t="s">
        <v>269</v>
      </c>
      <c r="D105" s="18" t="s">
        <v>270</v>
      </c>
      <c r="E105" s="19" t="s">
        <v>271</v>
      </c>
      <c r="F105" s="18" t="s">
        <v>272</v>
      </c>
      <c r="G105" s="18" t="s">
        <v>273</v>
      </c>
      <c r="H105" s="9">
        <v>4000</v>
      </c>
      <c r="I105" s="56">
        <f t="shared" si="4"/>
        <v>30</v>
      </c>
      <c r="J105" s="21">
        <f t="shared" si="7"/>
        <v>4030</v>
      </c>
      <c r="K105" s="53">
        <f t="shared" si="5"/>
        <v>4240</v>
      </c>
      <c r="L105" s="22">
        <f t="shared" si="6"/>
        <v>160</v>
      </c>
      <c r="M105" s="20">
        <v>50</v>
      </c>
      <c r="N105" s="12">
        <v>1</v>
      </c>
      <c r="O105" s="12">
        <v>0</v>
      </c>
      <c r="P105" s="12">
        <v>0</v>
      </c>
      <c r="Q105" s="12"/>
      <c r="R105" s="20">
        <v>0</v>
      </c>
      <c r="S105" s="12">
        <v>0</v>
      </c>
      <c r="T105" s="16">
        <f>+N105+O105+P105+R105+S105</f>
        <v>1</v>
      </c>
      <c r="U105" s="17" t="s">
        <v>274</v>
      </c>
    </row>
    <row r="106" spans="1:21" x14ac:dyDescent="0.25">
      <c r="A106" s="18" t="s">
        <v>275</v>
      </c>
      <c r="B106" s="18" t="s">
        <v>19</v>
      </c>
      <c r="C106" s="18" t="s">
        <v>20</v>
      </c>
      <c r="D106" s="18" t="s">
        <v>21</v>
      </c>
      <c r="E106" s="19" t="s">
        <v>276</v>
      </c>
      <c r="F106" s="18" t="s">
        <v>277</v>
      </c>
      <c r="G106" s="18" t="s">
        <v>129</v>
      </c>
      <c r="H106" s="9">
        <v>1385</v>
      </c>
      <c r="I106" s="56">
        <f t="shared" si="4"/>
        <v>10.387499999999999</v>
      </c>
      <c r="J106" s="21">
        <f t="shared" si="7"/>
        <v>1395.3875</v>
      </c>
      <c r="K106" s="53">
        <v>1600</v>
      </c>
      <c r="L106" s="22">
        <f t="shared" si="6"/>
        <v>154.61249999999995</v>
      </c>
      <c r="M106" s="20">
        <v>50</v>
      </c>
      <c r="N106" s="12">
        <v>1</v>
      </c>
      <c r="O106" s="12">
        <v>0</v>
      </c>
      <c r="P106" s="12">
        <v>0</v>
      </c>
      <c r="Q106" s="12"/>
      <c r="R106" s="20">
        <v>0</v>
      </c>
      <c r="S106" s="12">
        <v>0</v>
      </c>
      <c r="T106" s="16">
        <f>+N106+O106+P106+R106+S106</f>
        <v>1</v>
      </c>
      <c r="U106" s="17" t="s">
        <v>109</v>
      </c>
    </row>
    <row r="107" spans="1:21" x14ac:dyDescent="0.25">
      <c r="A107" s="7" t="s">
        <v>275</v>
      </c>
      <c r="B107" s="7" t="s">
        <v>182</v>
      </c>
      <c r="C107" s="7" t="s">
        <v>105</v>
      </c>
      <c r="D107" s="7" t="s">
        <v>278</v>
      </c>
      <c r="E107" s="8" t="s">
        <v>279</v>
      </c>
      <c r="F107" s="7" t="s">
        <v>280</v>
      </c>
      <c r="G107" s="7" t="s">
        <v>24</v>
      </c>
      <c r="H107" s="9">
        <v>1040</v>
      </c>
      <c r="I107" s="56">
        <f t="shared" si="4"/>
        <v>7.8</v>
      </c>
      <c r="J107" s="11">
        <f t="shared" si="7"/>
        <v>1047.8</v>
      </c>
      <c r="K107" s="53">
        <f t="shared" si="5"/>
        <v>1102.4000000000001</v>
      </c>
      <c r="L107" s="13">
        <f t="shared" si="6"/>
        <v>34.600000000000136</v>
      </c>
      <c r="M107" s="14">
        <v>20</v>
      </c>
      <c r="N107" s="15">
        <v>0</v>
      </c>
      <c r="O107" s="15">
        <v>1</v>
      </c>
      <c r="P107" s="15">
        <v>1</v>
      </c>
      <c r="Q107" s="15"/>
      <c r="R107" s="16">
        <v>0</v>
      </c>
      <c r="S107" s="15">
        <v>1</v>
      </c>
      <c r="T107" s="16">
        <f>+N107+O107+P107+R107+S107</f>
        <v>3</v>
      </c>
      <c r="U107" s="17" t="s">
        <v>109</v>
      </c>
    </row>
    <row r="108" spans="1:21" x14ac:dyDescent="0.25">
      <c r="A108" s="7" t="s">
        <v>275</v>
      </c>
      <c r="B108" s="7" t="s">
        <v>47</v>
      </c>
      <c r="C108" s="7" t="s">
        <v>105</v>
      </c>
      <c r="D108" s="7" t="s">
        <v>281</v>
      </c>
      <c r="E108" s="8" t="s">
        <v>282</v>
      </c>
      <c r="F108" s="7" t="s">
        <v>283</v>
      </c>
      <c r="G108" s="7" t="s">
        <v>24</v>
      </c>
      <c r="H108" s="9">
        <v>1460</v>
      </c>
      <c r="I108" s="56">
        <f t="shared" si="4"/>
        <v>10.95</v>
      </c>
      <c r="J108" s="11">
        <f t="shared" si="7"/>
        <v>1470.95</v>
      </c>
      <c r="K108" s="53">
        <f t="shared" si="5"/>
        <v>1547.6</v>
      </c>
      <c r="L108" s="13">
        <f t="shared" si="6"/>
        <v>56.649999999999864</v>
      </c>
      <c r="M108" s="14">
        <v>20</v>
      </c>
      <c r="N108" s="15">
        <v>1</v>
      </c>
      <c r="O108" s="15">
        <v>0</v>
      </c>
      <c r="P108" s="15">
        <v>1</v>
      </c>
      <c r="Q108" s="15"/>
      <c r="R108" s="16">
        <v>0</v>
      </c>
      <c r="S108" s="15">
        <v>0</v>
      </c>
      <c r="T108" s="16">
        <f>+N108+O108+P108+R108+S108</f>
        <v>2</v>
      </c>
      <c r="U108" s="17" t="s">
        <v>109</v>
      </c>
    </row>
    <row r="109" spans="1:21" x14ac:dyDescent="0.25">
      <c r="A109" s="7" t="s">
        <v>275</v>
      </c>
      <c r="B109" s="7" t="s">
        <v>182</v>
      </c>
      <c r="C109" s="7" t="s">
        <v>105</v>
      </c>
      <c r="D109" s="7" t="s">
        <v>284</v>
      </c>
      <c r="E109" s="8" t="s">
        <v>279</v>
      </c>
      <c r="F109" s="7" t="s">
        <v>285</v>
      </c>
      <c r="G109" s="7" t="s">
        <v>24</v>
      </c>
      <c r="H109" s="9">
        <v>1406</v>
      </c>
      <c r="I109" s="56">
        <f t="shared" si="4"/>
        <v>10.545</v>
      </c>
      <c r="J109" s="11">
        <f t="shared" si="7"/>
        <v>1416.5450000000001</v>
      </c>
      <c r="K109" s="53">
        <f t="shared" si="5"/>
        <v>1490.36</v>
      </c>
      <c r="L109" s="13">
        <f t="shared" si="6"/>
        <v>53.814999999999827</v>
      </c>
      <c r="M109" s="14">
        <v>20</v>
      </c>
      <c r="N109" s="15">
        <v>0</v>
      </c>
      <c r="O109" s="15">
        <v>1</v>
      </c>
      <c r="P109" s="15">
        <v>1</v>
      </c>
      <c r="Q109" s="15"/>
      <c r="R109" s="16">
        <v>0</v>
      </c>
      <c r="S109" s="15">
        <v>3</v>
      </c>
      <c r="T109" s="16">
        <f>+N109+O109+P109+R109+S109</f>
        <v>5</v>
      </c>
      <c r="U109" s="17" t="s">
        <v>109</v>
      </c>
    </row>
    <row r="110" spans="1:21" x14ac:dyDescent="0.25">
      <c r="A110" s="7" t="s">
        <v>275</v>
      </c>
      <c r="B110" s="7" t="s">
        <v>182</v>
      </c>
      <c r="C110" s="7" t="s">
        <v>105</v>
      </c>
      <c r="D110" s="7" t="s">
        <v>286</v>
      </c>
      <c r="E110" s="8" t="s">
        <v>279</v>
      </c>
      <c r="F110" s="7" t="s">
        <v>287</v>
      </c>
      <c r="G110" s="7" t="s">
        <v>24</v>
      </c>
      <c r="H110" s="9">
        <v>1683</v>
      </c>
      <c r="I110" s="56">
        <f t="shared" si="4"/>
        <v>12.622499999999999</v>
      </c>
      <c r="J110" s="11">
        <f t="shared" si="7"/>
        <v>1695.6224999999999</v>
      </c>
      <c r="K110" s="53">
        <f t="shared" si="5"/>
        <v>1783.98</v>
      </c>
      <c r="L110" s="13">
        <f t="shared" si="6"/>
        <v>58.357500000000073</v>
      </c>
      <c r="M110" s="14">
        <v>30</v>
      </c>
      <c r="N110" s="15">
        <v>0</v>
      </c>
      <c r="O110" s="15">
        <v>0</v>
      </c>
      <c r="P110" s="15">
        <v>1</v>
      </c>
      <c r="Q110" s="15"/>
      <c r="R110" s="16">
        <v>0</v>
      </c>
      <c r="S110" s="15">
        <v>0</v>
      </c>
      <c r="T110" s="16">
        <f>+N110+O110+P110+R110+S110</f>
        <v>1</v>
      </c>
      <c r="U110" s="17" t="s">
        <v>109</v>
      </c>
    </row>
    <row r="111" spans="1:21" x14ac:dyDescent="0.25">
      <c r="A111" s="7" t="s">
        <v>275</v>
      </c>
      <c r="B111" s="7" t="s">
        <v>78</v>
      </c>
      <c r="C111" s="7" t="s">
        <v>83</v>
      </c>
      <c r="D111" s="7" t="s">
        <v>208</v>
      </c>
      <c r="E111" s="8" t="s">
        <v>85</v>
      </c>
      <c r="F111" s="7" t="s">
        <v>288</v>
      </c>
      <c r="G111" s="7" t="s">
        <v>129</v>
      </c>
      <c r="H111" s="9">
        <v>2500</v>
      </c>
      <c r="I111" s="56">
        <f t="shared" si="4"/>
        <v>18.75</v>
      </c>
      <c r="J111" s="11">
        <f t="shared" si="7"/>
        <v>2518.75</v>
      </c>
      <c r="K111" s="53">
        <f t="shared" si="5"/>
        <v>2650</v>
      </c>
      <c r="L111" s="13">
        <f t="shared" si="6"/>
        <v>101.25</v>
      </c>
      <c r="M111" s="14">
        <v>30</v>
      </c>
      <c r="N111" s="15">
        <v>0</v>
      </c>
      <c r="O111" s="15">
        <v>1</v>
      </c>
      <c r="P111" s="15">
        <v>0</v>
      </c>
      <c r="Q111" s="15"/>
      <c r="R111" s="16">
        <v>0</v>
      </c>
      <c r="S111" s="15">
        <v>6</v>
      </c>
      <c r="T111" s="16">
        <f>+N111+O111+P111+R111+S111</f>
        <v>7</v>
      </c>
      <c r="U111" s="17" t="s">
        <v>109</v>
      </c>
    </row>
    <row r="112" spans="1:21" x14ac:dyDescent="0.25">
      <c r="A112" s="7" t="s">
        <v>275</v>
      </c>
      <c r="B112" s="7" t="s">
        <v>78</v>
      </c>
      <c r="C112" s="7" t="s">
        <v>83</v>
      </c>
      <c r="D112" s="7" t="s">
        <v>289</v>
      </c>
      <c r="E112" s="8" t="s">
        <v>85</v>
      </c>
      <c r="F112" s="7" t="s">
        <v>290</v>
      </c>
      <c r="G112" s="7" t="s">
        <v>129</v>
      </c>
      <c r="H112" s="9">
        <v>2450</v>
      </c>
      <c r="I112" s="56">
        <f t="shared" si="4"/>
        <v>18.375</v>
      </c>
      <c r="J112" s="11">
        <f t="shared" si="7"/>
        <v>2468.375</v>
      </c>
      <c r="K112" s="53">
        <f t="shared" si="5"/>
        <v>2597</v>
      </c>
      <c r="L112" s="13">
        <f t="shared" si="6"/>
        <v>98.625</v>
      </c>
      <c r="M112" s="14">
        <v>30</v>
      </c>
      <c r="N112" s="15">
        <v>0</v>
      </c>
      <c r="O112" s="15">
        <v>1</v>
      </c>
      <c r="P112" s="15">
        <v>0</v>
      </c>
      <c r="Q112" s="15"/>
      <c r="R112" s="16">
        <v>0</v>
      </c>
      <c r="S112" s="15">
        <v>6</v>
      </c>
      <c r="T112" s="16">
        <f>+N112+O112+P112+R112+S112</f>
        <v>7</v>
      </c>
      <c r="U112" s="17" t="s">
        <v>109</v>
      </c>
    </row>
    <row r="113" spans="1:21" x14ac:dyDescent="0.25">
      <c r="A113" s="7" t="s">
        <v>275</v>
      </c>
      <c r="B113" s="7" t="s">
        <v>78</v>
      </c>
      <c r="C113" s="7" t="s">
        <v>83</v>
      </c>
      <c r="D113" s="7" t="s">
        <v>120</v>
      </c>
      <c r="E113" s="8" t="s">
        <v>85</v>
      </c>
      <c r="F113" s="7" t="s">
        <v>291</v>
      </c>
      <c r="G113" s="7" t="s">
        <v>129</v>
      </c>
      <c r="H113" s="9">
        <v>3591</v>
      </c>
      <c r="I113" s="56">
        <f t="shared" si="4"/>
        <v>26.932499999999997</v>
      </c>
      <c r="J113" s="11">
        <f t="shared" si="7"/>
        <v>3617.9324999999999</v>
      </c>
      <c r="K113" s="53">
        <f t="shared" si="5"/>
        <v>3806.46</v>
      </c>
      <c r="L113" s="13">
        <f t="shared" si="6"/>
        <v>158.52750000000015</v>
      </c>
      <c r="M113" s="14">
        <v>30</v>
      </c>
      <c r="N113" s="15">
        <v>0</v>
      </c>
      <c r="O113" s="15">
        <v>0</v>
      </c>
      <c r="P113" s="15">
        <v>0</v>
      </c>
      <c r="Q113" s="15"/>
      <c r="R113" s="16">
        <v>0</v>
      </c>
      <c r="S113" s="15">
        <v>1</v>
      </c>
      <c r="T113" s="16">
        <f>+N113+O113+P113+R113+S113</f>
        <v>1</v>
      </c>
      <c r="U113" s="17" t="s">
        <v>109</v>
      </c>
    </row>
    <row r="114" spans="1:21" x14ac:dyDescent="0.25">
      <c r="A114" s="7" t="s">
        <v>275</v>
      </c>
      <c r="B114" s="7" t="s">
        <v>78</v>
      </c>
      <c r="C114" s="7" t="s">
        <v>83</v>
      </c>
      <c r="D114" s="7" t="s">
        <v>84</v>
      </c>
      <c r="E114" s="8" t="s">
        <v>85</v>
      </c>
      <c r="F114" s="7" t="s">
        <v>292</v>
      </c>
      <c r="G114" s="7" t="s">
        <v>129</v>
      </c>
      <c r="H114" s="9">
        <v>3789</v>
      </c>
      <c r="I114" s="56">
        <f t="shared" si="4"/>
        <v>28.4175</v>
      </c>
      <c r="J114" s="11">
        <f t="shared" si="7"/>
        <v>3817.4175</v>
      </c>
      <c r="K114" s="53">
        <f t="shared" si="5"/>
        <v>4016.34</v>
      </c>
      <c r="L114" s="13">
        <f t="shared" si="6"/>
        <v>168.92250000000013</v>
      </c>
      <c r="M114" s="14">
        <v>30</v>
      </c>
      <c r="N114" s="15">
        <v>0</v>
      </c>
      <c r="O114" s="15">
        <v>1</v>
      </c>
      <c r="P114" s="15">
        <v>0</v>
      </c>
      <c r="Q114" s="15"/>
      <c r="R114" s="16">
        <v>0</v>
      </c>
      <c r="S114" s="15">
        <v>3</v>
      </c>
      <c r="T114" s="16">
        <f>+N114+O114+P114+R114+S114</f>
        <v>4</v>
      </c>
      <c r="U114" s="17" t="s">
        <v>109</v>
      </c>
    </row>
    <row r="115" spans="1:21" x14ac:dyDescent="0.25">
      <c r="A115" s="7" t="s">
        <v>275</v>
      </c>
      <c r="B115" s="7" t="s">
        <v>78</v>
      </c>
      <c r="C115" s="7" t="s">
        <v>83</v>
      </c>
      <c r="D115" s="7" t="s">
        <v>293</v>
      </c>
      <c r="E115" s="8" t="s">
        <v>85</v>
      </c>
      <c r="F115" s="7" t="s">
        <v>294</v>
      </c>
      <c r="G115" s="7" t="s">
        <v>129</v>
      </c>
      <c r="H115" s="9">
        <v>4985</v>
      </c>
      <c r="I115" s="56">
        <f t="shared" si="4"/>
        <v>37.387499999999996</v>
      </c>
      <c r="J115" s="11">
        <f t="shared" si="7"/>
        <v>5022.3874999999998</v>
      </c>
      <c r="K115" s="53">
        <f t="shared" si="5"/>
        <v>5284.1</v>
      </c>
      <c r="L115" s="13">
        <f t="shared" si="6"/>
        <v>211.71250000000055</v>
      </c>
      <c r="M115" s="14">
        <v>50</v>
      </c>
      <c r="N115" s="15">
        <v>0</v>
      </c>
      <c r="O115" s="15">
        <v>1</v>
      </c>
      <c r="P115" s="15">
        <v>0</v>
      </c>
      <c r="Q115" s="15"/>
      <c r="R115" s="16">
        <v>0</v>
      </c>
      <c r="S115" s="15">
        <v>0</v>
      </c>
      <c r="T115" s="16">
        <f>+N115+O115+P115+R115+S115</f>
        <v>1</v>
      </c>
      <c r="U115" s="17" t="s">
        <v>109</v>
      </c>
    </row>
    <row r="116" spans="1:21" x14ac:dyDescent="0.25">
      <c r="A116" s="18" t="s">
        <v>275</v>
      </c>
      <c r="B116" s="18" t="s">
        <v>78</v>
      </c>
      <c r="C116" s="18" t="s">
        <v>79</v>
      </c>
      <c r="D116" s="18" t="s">
        <v>289</v>
      </c>
      <c r="E116" s="19" t="s">
        <v>81</v>
      </c>
      <c r="F116" s="18" t="s">
        <v>295</v>
      </c>
      <c r="G116" s="18" t="s">
        <v>57</v>
      </c>
      <c r="H116" s="9">
        <v>4700</v>
      </c>
      <c r="I116" s="56">
        <f t="shared" si="4"/>
        <v>35.25</v>
      </c>
      <c r="J116" s="21">
        <f t="shared" si="7"/>
        <v>4735.25</v>
      </c>
      <c r="K116" s="53">
        <f t="shared" si="5"/>
        <v>4982</v>
      </c>
      <c r="L116" s="22">
        <f t="shared" si="6"/>
        <v>196.75</v>
      </c>
      <c r="M116" s="20">
        <v>50</v>
      </c>
      <c r="N116" s="12">
        <v>1</v>
      </c>
      <c r="O116" s="12">
        <v>1</v>
      </c>
      <c r="P116" s="12">
        <v>1</v>
      </c>
      <c r="Q116" s="12"/>
      <c r="R116" s="20">
        <v>0</v>
      </c>
      <c r="S116" s="12">
        <v>6</v>
      </c>
      <c r="T116" s="16">
        <f>+N116+O116+P116+R116+S116</f>
        <v>9</v>
      </c>
      <c r="U116" s="17" t="s">
        <v>109</v>
      </c>
    </row>
    <row r="117" spans="1:21" x14ac:dyDescent="0.25">
      <c r="A117" s="7" t="s">
        <v>275</v>
      </c>
      <c r="B117" s="7" t="s">
        <v>205</v>
      </c>
      <c r="C117" s="7" t="s">
        <v>79</v>
      </c>
      <c r="D117" s="7" t="s">
        <v>296</v>
      </c>
      <c r="E117" s="8" t="s">
        <v>297</v>
      </c>
      <c r="F117" s="7" t="s">
        <v>298</v>
      </c>
      <c r="G117" s="7" t="s">
        <v>57</v>
      </c>
      <c r="H117" s="9">
        <v>5900</v>
      </c>
      <c r="I117" s="56">
        <f t="shared" si="4"/>
        <v>44.25</v>
      </c>
      <c r="J117" s="11">
        <f t="shared" si="7"/>
        <v>5944.25</v>
      </c>
      <c r="K117" s="53">
        <f t="shared" si="5"/>
        <v>6254</v>
      </c>
      <c r="L117" s="13">
        <f t="shared" si="6"/>
        <v>259.75</v>
      </c>
      <c r="M117" s="10">
        <v>50</v>
      </c>
      <c r="N117" s="12">
        <v>0</v>
      </c>
      <c r="O117" s="12">
        <v>0</v>
      </c>
      <c r="P117" s="12">
        <v>0</v>
      </c>
      <c r="Q117" s="12"/>
      <c r="R117" s="20">
        <v>0</v>
      </c>
      <c r="S117" s="12">
        <v>2</v>
      </c>
      <c r="T117" s="16">
        <f>+N117+O117+P117+R117+S117</f>
        <v>2</v>
      </c>
      <c r="U117" s="17" t="s">
        <v>109</v>
      </c>
    </row>
    <row r="118" spans="1:21" x14ac:dyDescent="0.25">
      <c r="A118" s="18" t="s">
        <v>275</v>
      </c>
      <c r="B118" s="18" t="s">
        <v>87</v>
      </c>
      <c r="C118" s="18" t="s">
        <v>92</v>
      </c>
      <c r="D118" s="18"/>
      <c r="E118" s="19" t="s">
        <v>94</v>
      </c>
      <c r="F118" s="18" t="s">
        <v>299</v>
      </c>
      <c r="G118" s="18" t="s">
        <v>57</v>
      </c>
      <c r="H118" s="9">
        <v>1990</v>
      </c>
      <c r="I118" s="56">
        <f t="shared" si="4"/>
        <v>14.924999999999999</v>
      </c>
      <c r="J118" s="21">
        <f t="shared" si="7"/>
        <v>2004.925</v>
      </c>
      <c r="K118" s="53">
        <f t="shared" si="5"/>
        <v>2109.4</v>
      </c>
      <c r="L118" s="22">
        <f t="shared" si="6"/>
        <v>84.475000000000136</v>
      </c>
      <c r="M118" s="20">
        <v>20</v>
      </c>
      <c r="N118" s="12">
        <v>1</v>
      </c>
      <c r="O118" s="12">
        <v>0</v>
      </c>
      <c r="P118" s="12">
        <v>0</v>
      </c>
      <c r="Q118" s="12"/>
      <c r="R118" s="20">
        <v>0</v>
      </c>
      <c r="S118" s="12">
        <v>0</v>
      </c>
      <c r="T118" s="16">
        <f>+N118+O118+P118+R118+S118</f>
        <v>1</v>
      </c>
      <c r="U118" s="17" t="s">
        <v>109</v>
      </c>
    </row>
    <row r="119" spans="1:21" x14ac:dyDescent="0.25">
      <c r="A119" s="18" t="s">
        <v>275</v>
      </c>
      <c r="B119" s="18" t="s">
        <v>87</v>
      </c>
      <c r="C119" s="18" t="s">
        <v>92</v>
      </c>
      <c r="D119" s="18"/>
      <c r="E119" s="19" t="s">
        <v>94</v>
      </c>
      <c r="F119" s="18" t="s">
        <v>300</v>
      </c>
      <c r="G119" s="18" t="s">
        <v>57</v>
      </c>
      <c r="H119" s="9">
        <v>3489</v>
      </c>
      <c r="I119" s="56">
        <f t="shared" si="4"/>
        <v>26.1675</v>
      </c>
      <c r="J119" s="21">
        <f>+H119+I119</f>
        <v>3515.1675</v>
      </c>
      <c r="K119" s="53">
        <f t="shared" si="5"/>
        <v>3698.34</v>
      </c>
      <c r="L119" s="22">
        <f t="shared" si="6"/>
        <v>133.17250000000013</v>
      </c>
      <c r="M119" s="20">
        <v>50</v>
      </c>
      <c r="N119" s="12">
        <v>0</v>
      </c>
      <c r="O119" s="12">
        <v>1</v>
      </c>
      <c r="P119" s="12">
        <v>0</v>
      </c>
      <c r="Q119" s="12"/>
      <c r="R119" s="20">
        <v>0</v>
      </c>
      <c r="S119" s="12">
        <v>2</v>
      </c>
      <c r="T119" s="16">
        <f>+N119+O119+P119+R119+S119</f>
        <v>3</v>
      </c>
      <c r="U119" s="17" t="s">
        <v>109</v>
      </c>
    </row>
    <row r="120" spans="1:21" x14ac:dyDescent="0.25">
      <c r="A120" s="18" t="s">
        <v>275</v>
      </c>
      <c r="B120" s="18" t="s">
        <v>87</v>
      </c>
      <c r="C120" s="18" t="s">
        <v>92</v>
      </c>
      <c r="D120" s="18"/>
      <c r="E120" s="19" t="s">
        <v>94</v>
      </c>
      <c r="F120" s="18" t="s">
        <v>301</v>
      </c>
      <c r="G120" s="18" t="s">
        <v>57</v>
      </c>
      <c r="H120" s="9">
        <v>2690</v>
      </c>
      <c r="I120" s="56">
        <f t="shared" si="4"/>
        <v>20.175000000000001</v>
      </c>
      <c r="J120" s="21">
        <f t="shared" si="7"/>
        <v>2710.1750000000002</v>
      </c>
      <c r="K120" s="53">
        <f t="shared" si="5"/>
        <v>2851.4</v>
      </c>
      <c r="L120" s="22">
        <f t="shared" si="6"/>
        <v>91.224999999999909</v>
      </c>
      <c r="M120" s="20">
        <v>50</v>
      </c>
      <c r="N120" s="12">
        <v>0</v>
      </c>
      <c r="O120" s="12">
        <v>1</v>
      </c>
      <c r="P120" s="12">
        <v>1</v>
      </c>
      <c r="Q120" s="12"/>
      <c r="R120" s="20">
        <v>0</v>
      </c>
      <c r="S120" s="12">
        <v>2</v>
      </c>
      <c r="T120" s="16">
        <f>+N120+O120+P120+R120+S120</f>
        <v>4</v>
      </c>
      <c r="U120" s="17" t="s">
        <v>109</v>
      </c>
    </row>
    <row r="121" spans="1:21" x14ac:dyDescent="0.25">
      <c r="A121" s="18" t="s">
        <v>275</v>
      </c>
      <c r="B121" s="18" t="s">
        <v>87</v>
      </c>
      <c r="C121" s="18" t="s">
        <v>92</v>
      </c>
      <c r="D121" s="18"/>
      <c r="E121" s="19" t="s">
        <v>94</v>
      </c>
      <c r="F121" s="18" t="s">
        <v>302</v>
      </c>
      <c r="G121" s="18" t="s">
        <v>57</v>
      </c>
      <c r="H121" s="9">
        <v>2890</v>
      </c>
      <c r="I121" s="56">
        <f t="shared" si="4"/>
        <v>21.675000000000001</v>
      </c>
      <c r="J121" s="21">
        <f>+H121+I121</f>
        <v>2911.6750000000002</v>
      </c>
      <c r="K121" s="53">
        <f t="shared" si="5"/>
        <v>3063.4</v>
      </c>
      <c r="L121" s="22">
        <f t="shared" si="6"/>
        <v>101.72499999999991</v>
      </c>
      <c r="M121" s="20">
        <v>50</v>
      </c>
      <c r="N121" s="12">
        <v>0</v>
      </c>
      <c r="O121" s="12">
        <v>1</v>
      </c>
      <c r="P121" s="12">
        <v>1</v>
      </c>
      <c r="Q121" s="12"/>
      <c r="R121" s="20">
        <v>0</v>
      </c>
      <c r="S121" s="12">
        <v>0</v>
      </c>
      <c r="T121" s="16">
        <f>+N121+O121+P121+R121+S121</f>
        <v>2</v>
      </c>
      <c r="U121" s="17" t="s">
        <v>109</v>
      </c>
    </row>
    <row r="122" spans="1:21" x14ac:dyDescent="0.25">
      <c r="A122" s="18" t="s">
        <v>275</v>
      </c>
      <c r="B122" s="18" t="s">
        <v>87</v>
      </c>
      <c r="C122" s="18" t="s">
        <v>92</v>
      </c>
      <c r="D122" s="18"/>
      <c r="E122" s="19" t="s">
        <v>97</v>
      </c>
      <c r="F122" s="18" t="s">
        <v>303</v>
      </c>
      <c r="G122" s="18" t="s">
        <v>57</v>
      </c>
      <c r="H122" s="9">
        <v>5000</v>
      </c>
      <c r="I122" s="56">
        <f t="shared" si="4"/>
        <v>37.5</v>
      </c>
      <c r="J122" s="21">
        <f t="shared" si="7"/>
        <v>5037.5</v>
      </c>
      <c r="K122" s="53">
        <f t="shared" si="5"/>
        <v>5300</v>
      </c>
      <c r="L122" s="22">
        <f t="shared" si="6"/>
        <v>212.5</v>
      </c>
      <c r="M122" s="16">
        <v>50</v>
      </c>
      <c r="N122" s="15">
        <v>0</v>
      </c>
      <c r="O122" s="15">
        <v>1</v>
      </c>
      <c r="P122" s="15">
        <v>0</v>
      </c>
      <c r="Q122" s="15"/>
      <c r="R122" s="16">
        <v>0</v>
      </c>
      <c r="S122" s="15">
        <v>0</v>
      </c>
      <c r="T122" s="16">
        <f>+N122+O122+P122+R122+S122</f>
        <v>1</v>
      </c>
      <c r="U122" s="17" t="s">
        <v>109</v>
      </c>
    </row>
    <row r="123" spans="1:21" x14ac:dyDescent="0.25">
      <c r="A123" s="18" t="s">
        <v>275</v>
      </c>
      <c r="B123" s="18" t="s">
        <v>87</v>
      </c>
      <c r="C123" s="18" t="s">
        <v>92</v>
      </c>
      <c r="D123" s="18"/>
      <c r="E123" s="19" t="s">
        <v>97</v>
      </c>
      <c r="F123" s="18" t="s">
        <v>304</v>
      </c>
      <c r="G123" s="18" t="s">
        <v>57</v>
      </c>
      <c r="H123" s="9">
        <v>6400</v>
      </c>
      <c r="I123" s="56">
        <f t="shared" si="4"/>
        <v>48</v>
      </c>
      <c r="J123" s="21">
        <f t="shared" si="7"/>
        <v>6448</v>
      </c>
      <c r="K123" s="53">
        <f t="shared" si="5"/>
        <v>6784</v>
      </c>
      <c r="L123" s="22">
        <f t="shared" si="6"/>
        <v>286</v>
      </c>
      <c r="M123" s="16">
        <v>50</v>
      </c>
      <c r="N123" s="15">
        <v>0</v>
      </c>
      <c r="O123" s="15">
        <v>1</v>
      </c>
      <c r="P123" s="15">
        <v>0</v>
      </c>
      <c r="Q123" s="15"/>
      <c r="R123" s="16">
        <v>0</v>
      </c>
      <c r="S123" s="15">
        <v>0</v>
      </c>
      <c r="T123" s="16">
        <f>+N123+O123+P123+R123+S123</f>
        <v>1</v>
      </c>
      <c r="U123" s="17" t="s">
        <v>109</v>
      </c>
    </row>
    <row r="124" spans="1:21" x14ac:dyDescent="0.25">
      <c r="A124" s="18" t="s">
        <v>275</v>
      </c>
      <c r="B124" s="18" t="s">
        <v>87</v>
      </c>
      <c r="C124" s="18" t="s">
        <v>92</v>
      </c>
      <c r="D124" s="18" t="s">
        <v>305</v>
      </c>
      <c r="E124" s="19" t="s">
        <v>306</v>
      </c>
      <c r="F124" s="18" t="s">
        <v>307</v>
      </c>
      <c r="G124" s="18" t="s">
        <v>57</v>
      </c>
      <c r="H124" s="9">
        <v>7829</v>
      </c>
      <c r="I124" s="56">
        <f t="shared" si="4"/>
        <v>58.717500000000001</v>
      </c>
      <c r="J124" s="21">
        <f t="shared" si="7"/>
        <v>7887.7174999999997</v>
      </c>
      <c r="K124" s="53">
        <f t="shared" si="5"/>
        <v>8298.74</v>
      </c>
      <c r="L124" s="26">
        <f t="shared" si="6"/>
        <v>311.02250000000004</v>
      </c>
      <c r="M124" s="20">
        <v>100</v>
      </c>
      <c r="N124" s="12">
        <v>0</v>
      </c>
      <c r="O124" s="12">
        <v>1</v>
      </c>
      <c r="P124" s="12">
        <v>0</v>
      </c>
      <c r="Q124" s="12"/>
      <c r="R124" s="20">
        <v>0</v>
      </c>
      <c r="S124" s="12">
        <v>0</v>
      </c>
      <c r="T124" s="16">
        <f>+N124+O124+P124+R124+S124</f>
        <v>1</v>
      </c>
      <c r="U124" s="17" t="s">
        <v>109</v>
      </c>
    </row>
    <row r="125" spans="1:21" x14ac:dyDescent="0.25">
      <c r="A125" s="18" t="s">
        <v>275</v>
      </c>
      <c r="B125" s="18" t="s">
        <v>87</v>
      </c>
      <c r="C125" s="18" t="s">
        <v>92</v>
      </c>
      <c r="D125" s="18" t="s">
        <v>308</v>
      </c>
      <c r="E125" s="19" t="s">
        <v>309</v>
      </c>
      <c r="F125" s="18" t="s">
        <v>310</v>
      </c>
      <c r="G125" s="18" t="s">
        <v>57</v>
      </c>
      <c r="H125" s="9">
        <v>7855</v>
      </c>
      <c r="I125" s="56">
        <f t="shared" si="4"/>
        <v>58.912499999999994</v>
      </c>
      <c r="J125" s="21">
        <f t="shared" si="7"/>
        <v>7913.9125000000004</v>
      </c>
      <c r="K125" s="53">
        <f t="shared" si="5"/>
        <v>8326.2999999999993</v>
      </c>
      <c r="L125" s="26">
        <f t="shared" si="6"/>
        <v>312.38749999999891</v>
      </c>
      <c r="M125" s="20">
        <v>100</v>
      </c>
      <c r="N125" s="12">
        <v>0</v>
      </c>
      <c r="O125" s="12">
        <v>1</v>
      </c>
      <c r="P125" s="12">
        <v>0</v>
      </c>
      <c r="Q125" s="12"/>
      <c r="R125" s="20">
        <v>0</v>
      </c>
      <c r="S125" s="12">
        <v>2</v>
      </c>
      <c r="T125" s="16">
        <f>+N125+O125+P125+R125+S125</f>
        <v>3</v>
      </c>
      <c r="U125" s="17" t="s">
        <v>109</v>
      </c>
    </row>
    <row r="126" spans="1:21" x14ac:dyDescent="0.25">
      <c r="A126" s="18" t="s">
        <v>275</v>
      </c>
      <c r="B126" s="18" t="s">
        <v>87</v>
      </c>
      <c r="C126" s="18" t="s">
        <v>138</v>
      </c>
      <c r="D126" s="18" t="s">
        <v>311</v>
      </c>
      <c r="E126" s="19" t="s">
        <v>312</v>
      </c>
      <c r="F126" s="18" t="s">
        <v>313</v>
      </c>
      <c r="G126" s="18" t="s">
        <v>24</v>
      </c>
      <c r="H126" s="9">
        <v>8000</v>
      </c>
      <c r="I126" s="56">
        <f t="shared" si="4"/>
        <v>60</v>
      </c>
      <c r="J126" s="21">
        <f t="shared" si="7"/>
        <v>8060</v>
      </c>
      <c r="K126" s="53">
        <f t="shared" si="5"/>
        <v>8480</v>
      </c>
      <c r="L126" s="26">
        <f t="shared" si="6"/>
        <v>320</v>
      </c>
      <c r="M126" s="20">
        <v>100</v>
      </c>
      <c r="N126" s="12">
        <v>0</v>
      </c>
      <c r="O126" s="12">
        <v>1</v>
      </c>
      <c r="P126" s="12">
        <v>1</v>
      </c>
      <c r="Q126" s="12"/>
      <c r="R126" s="20">
        <v>0</v>
      </c>
      <c r="S126" s="12">
        <v>6</v>
      </c>
      <c r="T126" s="16">
        <f>+N126+O126+P126+R126+S126</f>
        <v>8</v>
      </c>
      <c r="U126" s="17" t="s">
        <v>109</v>
      </c>
    </row>
    <row r="127" spans="1:21" x14ac:dyDescent="0.25">
      <c r="A127" s="18" t="s">
        <v>275</v>
      </c>
      <c r="B127" s="18" t="s">
        <v>87</v>
      </c>
      <c r="C127" s="18" t="s">
        <v>138</v>
      </c>
      <c r="D127" s="18" t="s">
        <v>311</v>
      </c>
      <c r="E127" s="19" t="s">
        <v>312</v>
      </c>
      <c r="F127" s="18" t="s">
        <v>313</v>
      </c>
      <c r="G127" s="18" t="s">
        <v>166</v>
      </c>
      <c r="H127" s="9">
        <v>7900</v>
      </c>
      <c r="I127" s="56">
        <f t="shared" si="4"/>
        <v>59.25</v>
      </c>
      <c r="J127" s="21">
        <f t="shared" si="7"/>
        <v>7959.25</v>
      </c>
      <c r="K127" s="53">
        <f t="shared" si="5"/>
        <v>8374</v>
      </c>
      <c r="L127" s="26">
        <f t="shared" si="6"/>
        <v>314.75</v>
      </c>
      <c r="M127" s="20">
        <v>100</v>
      </c>
      <c r="N127" s="12">
        <v>0</v>
      </c>
      <c r="O127" s="12">
        <v>0</v>
      </c>
      <c r="P127" s="12">
        <v>0</v>
      </c>
      <c r="Q127" s="12"/>
      <c r="R127" s="20">
        <v>0</v>
      </c>
      <c r="S127" s="12">
        <v>3</v>
      </c>
      <c r="T127" s="16">
        <f>+N127+O127+P127+R127+S127</f>
        <v>3</v>
      </c>
      <c r="U127" s="17" t="s">
        <v>109</v>
      </c>
    </row>
    <row r="128" spans="1:21" x14ac:dyDescent="0.25">
      <c r="A128" s="18" t="s">
        <v>275</v>
      </c>
      <c r="B128" s="18" t="s">
        <v>87</v>
      </c>
      <c r="C128" s="18" t="s">
        <v>138</v>
      </c>
      <c r="D128" s="18" t="s">
        <v>311</v>
      </c>
      <c r="E128" s="19" t="s">
        <v>314</v>
      </c>
      <c r="F128" s="18" t="s">
        <v>315</v>
      </c>
      <c r="G128" s="18" t="s">
        <v>57</v>
      </c>
      <c r="H128" s="9">
        <v>9185</v>
      </c>
      <c r="I128" s="56">
        <f t="shared" si="4"/>
        <v>68.887500000000003</v>
      </c>
      <c r="J128" s="21">
        <f t="shared" si="7"/>
        <v>9253.8875000000007</v>
      </c>
      <c r="K128" s="53">
        <f t="shared" si="5"/>
        <v>9736.1</v>
      </c>
      <c r="L128" s="26">
        <f t="shared" si="6"/>
        <v>382.21249999999964</v>
      </c>
      <c r="M128" s="20">
        <v>100</v>
      </c>
      <c r="N128" s="12">
        <v>0</v>
      </c>
      <c r="O128" s="12">
        <v>0</v>
      </c>
      <c r="P128" s="12">
        <v>0</v>
      </c>
      <c r="Q128" s="12"/>
      <c r="R128" s="20">
        <v>0</v>
      </c>
      <c r="S128" s="12">
        <v>2</v>
      </c>
      <c r="T128" s="16">
        <f>+N128+O128+P128+R128+S128</f>
        <v>2</v>
      </c>
      <c r="U128" s="17" t="s">
        <v>109</v>
      </c>
    </row>
    <row r="129" spans="1:21" x14ac:dyDescent="0.25">
      <c r="A129" s="18" t="s">
        <v>275</v>
      </c>
      <c r="B129" s="18" t="s">
        <v>63</v>
      </c>
      <c r="C129" s="18" t="s">
        <v>64</v>
      </c>
      <c r="D129" s="18" t="s">
        <v>316</v>
      </c>
      <c r="E129" s="19" t="s">
        <v>317</v>
      </c>
      <c r="F129" s="18" t="s">
        <v>318</v>
      </c>
      <c r="G129" s="18" t="s">
        <v>39</v>
      </c>
      <c r="H129" s="9">
        <v>2844</v>
      </c>
      <c r="I129" s="56">
        <f t="shared" si="4"/>
        <v>21.33</v>
      </c>
      <c r="J129" s="21">
        <f t="shared" si="7"/>
        <v>2865.33</v>
      </c>
      <c r="K129" s="53">
        <f t="shared" si="5"/>
        <v>3014.64</v>
      </c>
      <c r="L129" s="26">
        <f t="shared" si="6"/>
        <v>99.309999999999945</v>
      </c>
      <c r="M129" s="20">
        <v>50</v>
      </c>
      <c r="N129" s="12">
        <v>0</v>
      </c>
      <c r="O129" s="12">
        <v>0</v>
      </c>
      <c r="P129" s="12">
        <v>0</v>
      </c>
      <c r="Q129" s="12"/>
      <c r="R129" s="20">
        <v>0</v>
      </c>
      <c r="S129" s="12">
        <v>1</v>
      </c>
      <c r="T129" s="16">
        <f>+N129+O129+P129+R129+S129</f>
        <v>1</v>
      </c>
      <c r="U129" s="17" t="s">
        <v>109</v>
      </c>
    </row>
    <row r="130" spans="1:21" x14ac:dyDescent="0.25">
      <c r="A130" s="18" t="s">
        <v>275</v>
      </c>
      <c r="B130" s="18" t="s">
        <v>63</v>
      </c>
      <c r="C130" s="18" t="s">
        <v>64</v>
      </c>
      <c r="D130" s="18" t="s">
        <v>319</v>
      </c>
      <c r="E130" s="19" t="s">
        <v>317</v>
      </c>
      <c r="F130" s="18" t="s">
        <v>320</v>
      </c>
      <c r="G130" s="18" t="s">
        <v>39</v>
      </c>
      <c r="H130" s="9">
        <v>4456</v>
      </c>
      <c r="I130" s="56">
        <f t="shared" si="4"/>
        <v>33.42</v>
      </c>
      <c r="J130" s="21">
        <f t="shared" si="7"/>
        <v>4489.42</v>
      </c>
      <c r="K130" s="53">
        <f t="shared" si="5"/>
        <v>4723.3599999999997</v>
      </c>
      <c r="L130" s="26">
        <f t="shared" si="6"/>
        <v>183.9399999999996</v>
      </c>
      <c r="M130" s="20">
        <v>50</v>
      </c>
      <c r="N130" s="12">
        <v>0</v>
      </c>
      <c r="O130" s="12">
        <v>0</v>
      </c>
      <c r="P130" s="12">
        <v>0</v>
      </c>
      <c r="Q130" s="12"/>
      <c r="R130" s="20">
        <v>0</v>
      </c>
      <c r="S130" s="12">
        <v>1</v>
      </c>
      <c r="T130" s="16">
        <f>+N130+O130+P130+R130+S130</f>
        <v>1</v>
      </c>
      <c r="U130" s="17" t="s">
        <v>109</v>
      </c>
    </row>
    <row r="131" spans="1:21" x14ac:dyDescent="0.25">
      <c r="A131" s="7" t="s">
        <v>321</v>
      </c>
      <c r="B131" s="7" t="s">
        <v>87</v>
      </c>
      <c r="C131" s="7" t="s">
        <v>92</v>
      </c>
      <c r="D131" s="7" t="s">
        <v>322</v>
      </c>
      <c r="E131" s="8" t="s">
        <v>97</v>
      </c>
      <c r="F131" s="7" t="s">
        <v>323</v>
      </c>
      <c r="G131" s="7" t="s">
        <v>57</v>
      </c>
      <c r="H131" s="9">
        <v>4600</v>
      </c>
      <c r="I131" s="56">
        <f t="shared" ref="I131:I194" si="8">+(H131*0.75%)</f>
        <v>34.5</v>
      </c>
      <c r="J131" s="11">
        <f t="shared" si="7"/>
        <v>4634.5</v>
      </c>
      <c r="K131" s="53">
        <f t="shared" ref="K131:K194" si="9">+((H131*6%)+H131)</f>
        <v>4876</v>
      </c>
      <c r="L131" s="27">
        <f t="shared" si="6"/>
        <v>191.5</v>
      </c>
      <c r="M131" s="10">
        <v>50</v>
      </c>
      <c r="N131" s="12">
        <v>1</v>
      </c>
      <c r="O131" s="12">
        <v>0</v>
      </c>
      <c r="P131" s="12">
        <v>0</v>
      </c>
      <c r="Q131" s="12"/>
      <c r="R131" s="20">
        <v>0</v>
      </c>
      <c r="S131" s="12">
        <v>0</v>
      </c>
      <c r="T131" s="16">
        <f>+N131+O131+P131+R131+S131</f>
        <v>1</v>
      </c>
      <c r="U131" s="17" t="s">
        <v>25</v>
      </c>
    </row>
    <row r="132" spans="1:21" x14ac:dyDescent="0.25">
      <c r="A132" s="18" t="s">
        <v>321</v>
      </c>
      <c r="B132" s="18" t="s">
        <v>19</v>
      </c>
      <c r="C132" s="18" t="s">
        <v>20</v>
      </c>
      <c r="D132" s="18" t="s">
        <v>21</v>
      </c>
      <c r="E132" s="19" t="s">
        <v>324</v>
      </c>
      <c r="F132" s="18" t="s">
        <v>325</v>
      </c>
      <c r="G132" s="18" t="s">
        <v>129</v>
      </c>
      <c r="H132" s="9">
        <v>1300</v>
      </c>
      <c r="I132" s="56">
        <f t="shared" si="8"/>
        <v>9.75</v>
      </c>
      <c r="J132" s="21">
        <v>1300</v>
      </c>
      <c r="K132" s="53">
        <f t="shared" si="9"/>
        <v>1378</v>
      </c>
      <c r="L132" s="26">
        <f t="shared" si="6"/>
        <v>28</v>
      </c>
      <c r="M132" s="20">
        <v>50</v>
      </c>
      <c r="N132" s="12">
        <v>1</v>
      </c>
      <c r="O132" s="12">
        <v>0</v>
      </c>
      <c r="P132" s="12">
        <v>0</v>
      </c>
      <c r="Q132" s="12"/>
      <c r="R132" s="20">
        <v>0</v>
      </c>
      <c r="S132" s="12">
        <v>0</v>
      </c>
      <c r="T132" s="16">
        <f>+N132+O132+P132+R132+S132</f>
        <v>1</v>
      </c>
      <c r="U132" s="17" t="s">
        <v>25</v>
      </c>
    </row>
    <row r="133" spans="1:21" x14ac:dyDescent="0.25">
      <c r="A133" s="18" t="s">
        <v>326</v>
      </c>
      <c r="B133" s="18" t="s">
        <v>52</v>
      </c>
      <c r="C133" s="18" t="s">
        <v>53</v>
      </c>
      <c r="D133" s="18" t="s">
        <v>49</v>
      </c>
      <c r="E133" s="19" t="s">
        <v>327</v>
      </c>
      <c r="F133" s="18" t="s">
        <v>328</v>
      </c>
      <c r="G133" s="18" t="s">
        <v>24</v>
      </c>
      <c r="H133" s="9">
        <v>1150</v>
      </c>
      <c r="I133" s="56">
        <f t="shared" si="8"/>
        <v>8.625</v>
      </c>
      <c r="J133" s="21">
        <f t="shared" si="7"/>
        <v>1158.625</v>
      </c>
      <c r="K133" s="53">
        <v>1300</v>
      </c>
      <c r="L133" s="26">
        <f t="shared" si="6"/>
        <v>111.375</v>
      </c>
      <c r="M133" s="20">
        <v>30</v>
      </c>
      <c r="N133" s="12">
        <v>1</v>
      </c>
      <c r="O133" s="12">
        <v>0</v>
      </c>
      <c r="P133" s="12">
        <v>0</v>
      </c>
      <c r="Q133" s="12"/>
      <c r="R133" s="20">
        <v>0</v>
      </c>
      <c r="S133" s="12">
        <v>4</v>
      </c>
      <c r="T133" s="16">
        <f>+N133+O133+P133+R133+S133</f>
        <v>5</v>
      </c>
      <c r="U133" s="17" t="s">
        <v>329</v>
      </c>
    </row>
    <row r="134" spans="1:21" x14ac:dyDescent="0.25">
      <c r="A134" s="18" t="s">
        <v>326</v>
      </c>
      <c r="B134" s="18" t="s">
        <v>52</v>
      </c>
      <c r="C134" s="18" t="s">
        <v>53</v>
      </c>
      <c r="D134" s="18" t="s">
        <v>243</v>
      </c>
      <c r="E134" s="19" t="s">
        <v>327</v>
      </c>
      <c r="F134" s="18" t="s">
        <v>330</v>
      </c>
      <c r="G134" s="18" t="s">
        <v>154</v>
      </c>
      <c r="H134" s="9">
        <v>1350</v>
      </c>
      <c r="I134" s="56">
        <f t="shared" si="8"/>
        <v>10.125</v>
      </c>
      <c r="J134" s="21">
        <f t="shared" si="7"/>
        <v>1360.125</v>
      </c>
      <c r="K134" s="53">
        <v>1500</v>
      </c>
      <c r="L134" s="26">
        <f t="shared" si="6"/>
        <v>109.875</v>
      </c>
      <c r="M134" s="20">
        <v>30</v>
      </c>
      <c r="N134" s="12">
        <v>0</v>
      </c>
      <c r="O134" s="12">
        <v>0</v>
      </c>
      <c r="P134" s="12">
        <v>0</v>
      </c>
      <c r="Q134" s="12"/>
      <c r="R134" s="20">
        <v>0</v>
      </c>
      <c r="S134" s="12">
        <v>0</v>
      </c>
      <c r="T134" s="16">
        <f>+N134+O134+P134+R134+S134</f>
        <v>0</v>
      </c>
      <c r="U134" s="17" t="s">
        <v>329</v>
      </c>
    </row>
    <row r="135" spans="1:21" x14ac:dyDescent="0.25">
      <c r="A135" s="18" t="s">
        <v>326</v>
      </c>
      <c r="B135" s="18" t="s">
        <v>52</v>
      </c>
      <c r="C135" s="18" t="s">
        <v>53</v>
      </c>
      <c r="D135" s="18" t="s">
        <v>111</v>
      </c>
      <c r="E135" s="19" t="s">
        <v>327</v>
      </c>
      <c r="F135" s="18" t="s">
        <v>331</v>
      </c>
      <c r="G135" s="18" t="s">
        <v>154</v>
      </c>
      <c r="H135" s="9">
        <v>1450</v>
      </c>
      <c r="I135" s="56">
        <f t="shared" si="8"/>
        <v>10.875</v>
      </c>
      <c r="J135" s="21">
        <f t="shared" si="7"/>
        <v>1460.875</v>
      </c>
      <c r="K135" s="53">
        <v>1600</v>
      </c>
      <c r="L135" s="26">
        <f t="shared" si="6"/>
        <v>109.125</v>
      </c>
      <c r="M135" s="20">
        <v>30</v>
      </c>
      <c r="N135" s="12">
        <v>1</v>
      </c>
      <c r="O135" s="12">
        <v>0</v>
      </c>
      <c r="P135" s="12">
        <v>0</v>
      </c>
      <c r="Q135" s="12"/>
      <c r="R135" s="20">
        <v>0</v>
      </c>
      <c r="S135" s="12">
        <v>0</v>
      </c>
      <c r="T135" s="16">
        <f>+N135+O135+P135+R135+S135</f>
        <v>1</v>
      </c>
      <c r="U135" s="17" t="s">
        <v>329</v>
      </c>
    </row>
    <row r="136" spans="1:21" x14ac:dyDescent="0.25">
      <c r="A136" s="7" t="s">
        <v>326</v>
      </c>
      <c r="B136" s="7" t="s">
        <v>63</v>
      </c>
      <c r="C136" s="7" t="s">
        <v>64</v>
      </c>
      <c r="D136" s="7" t="s">
        <v>216</v>
      </c>
      <c r="E136" s="8" t="s">
        <v>66</v>
      </c>
      <c r="F136" s="7" t="s">
        <v>332</v>
      </c>
      <c r="G136" s="7" t="s">
        <v>333</v>
      </c>
      <c r="H136" s="9">
        <v>2700</v>
      </c>
      <c r="I136" s="56">
        <f t="shared" si="8"/>
        <v>20.25</v>
      </c>
      <c r="J136" s="11">
        <f t="shared" si="7"/>
        <v>2720.25</v>
      </c>
      <c r="K136" s="53">
        <f t="shared" si="9"/>
        <v>2862</v>
      </c>
      <c r="L136" s="27">
        <f t="shared" ref="L136:L199" si="10">+K136-J136-M136</f>
        <v>91.75</v>
      </c>
      <c r="M136" s="10">
        <v>50</v>
      </c>
      <c r="N136" s="12">
        <v>1</v>
      </c>
      <c r="O136" s="12">
        <v>0</v>
      </c>
      <c r="P136" s="12">
        <v>0</v>
      </c>
      <c r="Q136" s="12"/>
      <c r="R136" s="20">
        <v>0</v>
      </c>
      <c r="S136" s="12">
        <v>5</v>
      </c>
      <c r="T136" s="16">
        <f>+N136+O136+P136+R136+S136</f>
        <v>6</v>
      </c>
      <c r="U136" s="17" t="s">
        <v>329</v>
      </c>
    </row>
    <row r="137" spans="1:21" x14ac:dyDescent="0.25">
      <c r="A137" s="7" t="s">
        <v>326</v>
      </c>
      <c r="B137" s="7" t="s">
        <v>63</v>
      </c>
      <c r="C137" s="7" t="s">
        <v>64</v>
      </c>
      <c r="D137" s="7" t="s">
        <v>216</v>
      </c>
      <c r="E137" s="8" t="s">
        <v>66</v>
      </c>
      <c r="F137" s="7" t="s">
        <v>334</v>
      </c>
      <c r="G137" s="7" t="s">
        <v>166</v>
      </c>
      <c r="H137" s="9">
        <v>3100</v>
      </c>
      <c r="I137" s="56">
        <f t="shared" si="8"/>
        <v>23.25</v>
      </c>
      <c r="J137" s="11">
        <f t="shared" si="7"/>
        <v>3123.25</v>
      </c>
      <c r="K137" s="53">
        <f t="shared" si="9"/>
        <v>3286</v>
      </c>
      <c r="L137" s="27">
        <f t="shared" si="10"/>
        <v>112.75</v>
      </c>
      <c r="M137" s="10">
        <v>50</v>
      </c>
      <c r="N137" s="12">
        <v>0</v>
      </c>
      <c r="O137" s="12">
        <v>0</v>
      </c>
      <c r="P137" s="12">
        <v>0</v>
      </c>
      <c r="Q137" s="12"/>
      <c r="R137" s="20">
        <v>0</v>
      </c>
      <c r="S137" s="12">
        <v>3</v>
      </c>
      <c r="T137" s="16">
        <f>+N137+O137+P137+R137+S137</f>
        <v>3</v>
      </c>
      <c r="U137" s="17" t="s">
        <v>329</v>
      </c>
    </row>
    <row r="138" spans="1:21" x14ac:dyDescent="0.25">
      <c r="A138" s="18" t="s">
        <v>335</v>
      </c>
      <c r="B138" s="18" t="s">
        <v>19</v>
      </c>
      <c r="C138" s="18" t="s">
        <v>20</v>
      </c>
      <c r="D138" s="18" t="s">
        <v>21</v>
      </c>
      <c r="E138" s="19" t="s">
        <v>258</v>
      </c>
      <c r="F138" s="18" t="s">
        <v>336</v>
      </c>
      <c r="G138" s="18" t="s">
        <v>166</v>
      </c>
      <c r="H138" s="9">
        <v>1960</v>
      </c>
      <c r="I138" s="56">
        <f t="shared" si="8"/>
        <v>14.7</v>
      </c>
      <c r="J138" s="21">
        <f t="shared" si="7"/>
        <v>1974.7</v>
      </c>
      <c r="K138" s="53">
        <f t="shared" si="9"/>
        <v>2077.6</v>
      </c>
      <c r="L138" s="26">
        <f t="shared" si="10"/>
        <v>72.899999999999864</v>
      </c>
      <c r="M138" s="20">
        <v>30</v>
      </c>
      <c r="N138" s="12">
        <v>0</v>
      </c>
      <c r="O138" s="12">
        <v>1</v>
      </c>
      <c r="P138" s="12">
        <v>0</v>
      </c>
      <c r="Q138" s="12"/>
      <c r="R138" s="20">
        <v>0</v>
      </c>
      <c r="S138" s="12">
        <v>0</v>
      </c>
      <c r="T138" s="16">
        <f>+N138+O138+P138+R138+S138</f>
        <v>1</v>
      </c>
      <c r="U138" s="17" t="s">
        <v>25</v>
      </c>
    </row>
    <row r="139" spans="1:21" x14ac:dyDescent="0.25">
      <c r="A139" s="18" t="s">
        <v>335</v>
      </c>
      <c r="B139" s="18" t="s">
        <v>19</v>
      </c>
      <c r="C139" s="18" t="s">
        <v>20</v>
      </c>
      <c r="D139" s="18" t="s">
        <v>21</v>
      </c>
      <c r="E139" s="19" t="s">
        <v>337</v>
      </c>
      <c r="F139" s="18" t="s">
        <v>338</v>
      </c>
      <c r="G139" s="18" t="s">
        <v>57</v>
      </c>
      <c r="H139" s="9">
        <v>3582</v>
      </c>
      <c r="I139" s="56">
        <f t="shared" si="8"/>
        <v>26.864999999999998</v>
      </c>
      <c r="J139" s="21">
        <f t="shared" si="7"/>
        <v>3608.8649999999998</v>
      </c>
      <c r="K139" s="53">
        <f t="shared" si="9"/>
        <v>3796.92</v>
      </c>
      <c r="L139" s="22">
        <f t="shared" si="10"/>
        <v>158.05500000000029</v>
      </c>
      <c r="M139" s="16">
        <v>30</v>
      </c>
      <c r="N139" s="15">
        <v>1</v>
      </c>
      <c r="O139" s="15">
        <v>0</v>
      </c>
      <c r="P139" s="15">
        <v>0</v>
      </c>
      <c r="Q139" s="15"/>
      <c r="R139" s="16">
        <v>0</v>
      </c>
      <c r="S139" s="15">
        <v>0</v>
      </c>
      <c r="T139" s="16">
        <f>+N139+O139+P139+R139+S139</f>
        <v>1</v>
      </c>
      <c r="U139" s="17" t="s">
        <v>25</v>
      </c>
    </row>
    <row r="140" spans="1:21" x14ac:dyDescent="0.25">
      <c r="A140" s="18" t="s">
        <v>335</v>
      </c>
      <c r="B140" s="18" t="s">
        <v>19</v>
      </c>
      <c r="C140" s="18" t="s">
        <v>20</v>
      </c>
      <c r="D140" s="18" t="s">
        <v>21</v>
      </c>
      <c r="E140" s="19" t="s">
        <v>339</v>
      </c>
      <c r="F140" s="18" t="s">
        <v>340</v>
      </c>
      <c r="G140" s="18" t="s">
        <v>24</v>
      </c>
      <c r="H140" s="9">
        <v>4050</v>
      </c>
      <c r="I140" s="56">
        <f t="shared" si="8"/>
        <v>30.375</v>
      </c>
      <c r="J140" s="21">
        <f t="shared" si="7"/>
        <v>4080.375</v>
      </c>
      <c r="K140" s="53">
        <f t="shared" si="9"/>
        <v>4293</v>
      </c>
      <c r="L140" s="22">
        <f t="shared" si="10"/>
        <v>182.625</v>
      </c>
      <c r="M140" s="16">
        <v>30</v>
      </c>
      <c r="N140" s="15">
        <v>0</v>
      </c>
      <c r="O140" s="15">
        <v>1</v>
      </c>
      <c r="P140" s="15">
        <v>0</v>
      </c>
      <c r="Q140" s="15"/>
      <c r="R140" s="16">
        <v>0</v>
      </c>
      <c r="S140" s="15">
        <v>3</v>
      </c>
      <c r="T140" s="16">
        <f>+N140+O140+P140+R140+S140</f>
        <v>4</v>
      </c>
      <c r="U140" s="17" t="s">
        <v>25</v>
      </c>
    </row>
    <row r="141" spans="1:21" x14ac:dyDescent="0.25">
      <c r="A141" s="18" t="s">
        <v>335</v>
      </c>
      <c r="B141" s="18" t="s">
        <v>19</v>
      </c>
      <c r="C141" s="18" t="s">
        <v>20</v>
      </c>
      <c r="D141" s="18" t="s">
        <v>21</v>
      </c>
      <c r="E141" s="19" t="s">
        <v>341</v>
      </c>
      <c r="F141" s="18" t="s">
        <v>342</v>
      </c>
      <c r="G141" s="18" t="s">
        <v>57</v>
      </c>
      <c r="H141" s="9">
        <v>4324</v>
      </c>
      <c r="I141" s="56">
        <f t="shared" si="8"/>
        <v>32.43</v>
      </c>
      <c r="J141" s="21">
        <f t="shared" si="7"/>
        <v>4356.43</v>
      </c>
      <c r="K141" s="53">
        <f t="shared" si="9"/>
        <v>4583.4399999999996</v>
      </c>
      <c r="L141" s="22">
        <f t="shared" si="10"/>
        <v>197.00999999999931</v>
      </c>
      <c r="M141" s="16">
        <v>30</v>
      </c>
      <c r="N141" s="15">
        <v>0</v>
      </c>
      <c r="O141" s="15">
        <v>1</v>
      </c>
      <c r="P141" s="15">
        <v>0</v>
      </c>
      <c r="Q141" s="15"/>
      <c r="R141" s="16">
        <v>0</v>
      </c>
      <c r="S141" s="15">
        <v>2</v>
      </c>
      <c r="T141" s="16">
        <f>+N141+O141+P141+R141+S141</f>
        <v>3</v>
      </c>
      <c r="U141" s="17" t="s">
        <v>25</v>
      </c>
    </row>
    <row r="142" spans="1:21" x14ac:dyDescent="0.25">
      <c r="A142" s="18" t="s">
        <v>335</v>
      </c>
      <c r="B142" s="18" t="s">
        <v>19</v>
      </c>
      <c r="C142" s="18" t="s">
        <v>20</v>
      </c>
      <c r="D142" s="18" t="s">
        <v>146</v>
      </c>
      <c r="E142" s="19" t="s">
        <v>343</v>
      </c>
      <c r="F142" s="18" t="s">
        <v>344</v>
      </c>
      <c r="G142" s="28" t="s">
        <v>57</v>
      </c>
      <c r="H142" s="9">
        <v>4690</v>
      </c>
      <c r="I142" s="56">
        <f t="shared" si="8"/>
        <v>35.174999999999997</v>
      </c>
      <c r="J142" s="21">
        <f t="shared" si="7"/>
        <v>4725.1750000000002</v>
      </c>
      <c r="K142" s="53">
        <f t="shared" si="9"/>
        <v>4971.3999999999996</v>
      </c>
      <c r="L142" s="22">
        <f t="shared" si="10"/>
        <v>196.22499999999945</v>
      </c>
      <c r="M142" s="16">
        <v>50</v>
      </c>
      <c r="N142" s="15">
        <v>1</v>
      </c>
      <c r="O142" s="15">
        <v>1</v>
      </c>
      <c r="P142" s="15">
        <v>1</v>
      </c>
      <c r="Q142" s="15"/>
      <c r="R142" s="16">
        <v>0</v>
      </c>
      <c r="S142" s="15">
        <v>2</v>
      </c>
      <c r="T142" s="16">
        <f>+N142+O142+P142+R142+S142</f>
        <v>5</v>
      </c>
      <c r="U142" s="17" t="s">
        <v>25</v>
      </c>
    </row>
    <row r="143" spans="1:21" x14ac:dyDescent="0.25">
      <c r="A143" s="18" t="s">
        <v>335</v>
      </c>
      <c r="B143" s="18" t="s">
        <v>19</v>
      </c>
      <c r="C143" s="18" t="s">
        <v>20</v>
      </c>
      <c r="D143" s="18" t="s">
        <v>26</v>
      </c>
      <c r="E143" s="19" t="s">
        <v>345</v>
      </c>
      <c r="F143" s="18" t="s">
        <v>346</v>
      </c>
      <c r="G143" s="18" t="s">
        <v>57</v>
      </c>
      <c r="H143" s="9">
        <v>5915</v>
      </c>
      <c r="I143" s="56">
        <f t="shared" si="8"/>
        <v>44.362499999999997</v>
      </c>
      <c r="J143" s="21">
        <f t="shared" si="7"/>
        <v>5959.3625000000002</v>
      </c>
      <c r="K143" s="53">
        <f t="shared" si="9"/>
        <v>6269.9</v>
      </c>
      <c r="L143" s="22">
        <f t="shared" si="10"/>
        <v>280.53749999999945</v>
      </c>
      <c r="M143" s="16">
        <v>30</v>
      </c>
      <c r="N143" s="15">
        <v>0</v>
      </c>
      <c r="O143" s="15">
        <v>0</v>
      </c>
      <c r="P143" s="15">
        <v>0</v>
      </c>
      <c r="Q143" s="15"/>
      <c r="R143" s="16">
        <v>0</v>
      </c>
      <c r="S143" s="15">
        <v>3</v>
      </c>
      <c r="T143" s="16">
        <f>+N143+O143+P143+R143+S143</f>
        <v>3</v>
      </c>
      <c r="U143" s="17" t="s">
        <v>25</v>
      </c>
    </row>
    <row r="144" spans="1:21" x14ac:dyDescent="0.25">
      <c r="A144" s="7" t="s">
        <v>335</v>
      </c>
      <c r="B144" s="7" t="s">
        <v>19</v>
      </c>
      <c r="C144" s="7" t="s">
        <v>20</v>
      </c>
      <c r="D144" s="7" t="s">
        <v>146</v>
      </c>
      <c r="E144" s="8" t="s">
        <v>347</v>
      </c>
      <c r="F144" s="7" t="s">
        <v>348</v>
      </c>
      <c r="G144" s="7" t="s">
        <v>57</v>
      </c>
      <c r="H144" s="29">
        <v>5782</v>
      </c>
      <c r="I144" s="56">
        <f t="shared" si="8"/>
        <v>43.364999999999995</v>
      </c>
      <c r="J144" s="11">
        <f t="shared" si="7"/>
        <v>5825.3649999999998</v>
      </c>
      <c r="K144" s="53">
        <f t="shared" si="9"/>
        <v>6128.92</v>
      </c>
      <c r="L144" s="13">
        <f t="shared" si="10"/>
        <v>253.55500000000029</v>
      </c>
      <c r="M144" s="14">
        <v>50</v>
      </c>
      <c r="N144" s="15">
        <v>1</v>
      </c>
      <c r="O144" s="15">
        <v>0</v>
      </c>
      <c r="P144" s="15">
        <v>0</v>
      </c>
      <c r="Q144" s="15"/>
      <c r="R144" s="16">
        <v>0</v>
      </c>
      <c r="S144" s="15">
        <v>0</v>
      </c>
      <c r="T144" s="16">
        <f>+N144+O144+P144+R144+S144</f>
        <v>1</v>
      </c>
      <c r="U144" s="17" t="s">
        <v>25</v>
      </c>
    </row>
    <row r="145" spans="1:21" x14ac:dyDescent="0.25">
      <c r="A145" s="18" t="s">
        <v>335</v>
      </c>
      <c r="B145" s="18" t="s">
        <v>19</v>
      </c>
      <c r="C145" s="18" t="s">
        <v>20</v>
      </c>
      <c r="D145" s="18" t="s">
        <v>26</v>
      </c>
      <c r="E145" s="19" t="s">
        <v>349</v>
      </c>
      <c r="F145" s="18" t="s">
        <v>350</v>
      </c>
      <c r="G145" s="28" t="s">
        <v>57</v>
      </c>
      <c r="H145" s="30">
        <v>5133</v>
      </c>
      <c r="I145" s="56">
        <f t="shared" si="8"/>
        <v>38.497499999999995</v>
      </c>
      <c r="J145" s="21">
        <f t="shared" si="7"/>
        <v>5171.4975000000004</v>
      </c>
      <c r="K145" s="53">
        <f t="shared" si="9"/>
        <v>5440.98</v>
      </c>
      <c r="L145" s="22">
        <f t="shared" si="10"/>
        <v>239.48249999999916</v>
      </c>
      <c r="M145" s="16">
        <v>30</v>
      </c>
      <c r="N145" s="15">
        <v>0</v>
      </c>
      <c r="O145" s="15">
        <v>0</v>
      </c>
      <c r="P145" s="15">
        <v>1</v>
      </c>
      <c r="Q145" s="15"/>
      <c r="R145" s="16">
        <v>0</v>
      </c>
      <c r="S145" s="15">
        <v>2</v>
      </c>
      <c r="T145" s="16">
        <f>+N145+O145+P145+R145+S145</f>
        <v>3</v>
      </c>
      <c r="U145" s="17" t="s">
        <v>25</v>
      </c>
    </row>
    <row r="146" spans="1:21" x14ac:dyDescent="0.25">
      <c r="A146" s="18" t="s">
        <v>335</v>
      </c>
      <c r="B146" s="18" t="s">
        <v>19</v>
      </c>
      <c r="C146" s="18" t="s">
        <v>20</v>
      </c>
      <c r="D146" s="18" t="s">
        <v>146</v>
      </c>
      <c r="E146" s="19" t="s">
        <v>349</v>
      </c>
      <c r="F146" s="18" t="s">
        <v>351</v>
      </c>
      <c r="G146" s="28" t="s">
        <v>57</v>
      </c>
      <c r="H146" s="30">
        <v>5740</v>
      </c>
      <c r="I146" s="56">
        <f t="shared" si="8"/>
        <v>43.05</v>
      </c>
      <c r="J146" s="21">
        <f t="shared" ref="J146:J213" si="11">+H146+I146</f>
        <v>5783.05</v>
      </c>
      <c r="K146" s="53">
        <f t="shared" si="9"/>
        <v>6084.4</v>
      </c>
      <c r="L146" s="22">
        <f t="shared" si="10"/>
        <v>271.34999999999945</v>
      </c>
      <c r="M146" s="16">
        <v>30</v>
      </c>
      <c r="N146" s="15">
        <v>0</v>
      </c>
      <c r="O146" s="15">
        <v>0</v>
      </c>
      <c r="P146" s="15">
        <v>0</v>
      </c>
      <c r="Q146" s="15"/>
      <c r="R146" s="16">
        <v>0</v>
      </c>
      <c r="S146" s="15">
        <v>2</v>
      </c>
      <c r="T146" s="16">
        <f>+N146+O146+P146+R146+S146</f>
        <v>2</v>
      </c>
      <c r="U146" s="17" t="s">
        <v>25</v>
      </c>
    </row>
    <row r="147" spans="1:21" x14ac:dyDescent="0.25">
      <c r="A147" s="7" t="s">
        <v>335</v>
      </c>
      <c r="B147" s="7" t="s">
        <v>19</v>
      </c>
      <c r="C147" s="7" t="s">
        <v>20</v>
      </c>
      <c r="D147" s="7" t="s">
        <v>26</v>
      </c>
      <c r="E147" s="8" t="s">
        <v>352</v>
      </c>
      <c r="F147" s="7" t="s">
        <v>353</v>
      </c>
      <c r="G147" s="7" t="s">
        <v>57</v>
      </c>
      <c r="H147" s="29">
        <v>4802</v>
      </c>
      <c r="I147" s="56">
        <f t="shared" si="8"/>
        <v>36.015000000000001</v>
      </c>
      <c r="J147" s="11">
        <f t="shared" si="11"/>
        <v>4838.0150000000003</v>
      </c>
      <c r="K147" s="53">
        <f t="shared" si="9"/>
        <v>5090.12</v>
      </c>
      <c r="L147" s="13">
        <f t="shared" si="10"/>
        <v>222.10499999999956</v>
      </c>
      <c r="M147" s="14">
        <v>30</v>
      </c>
      <c r="N147" s="15">
        <v>0</v>
      </c>
      <c r="O147" s="15">
        <v>0</v>
      </c>
      <c r="P147" s="15">
        <v>0</v>
      </c>
      <c r="Q147" s="15"/>
      <c r="R147" s="16">
        <v>1</v>
      </c>
      <c r="S147" s="15">
        <v>0</v>
      </c>
      <c r="T147" s="16">
        <f>+N147+O147+P147+R147+S147</f>
        <v>1</v>
      </c>
      <c r="U147" s="17" t="s">
        <v>25</v>
      </c>
    </row>
    <row r="148" spans="1:21" x14ac:dyDescent="0.25">
      <c r="A148" s="18" t="s">
        <v>335</v>
      </c>
      <c r="B148" s="18" t="s">
        <v>19</v>
      </c>
      <c r="C148" s="18" t="s">
        <v>20</v>
      </c>
      <c r="D148" s="18" t="s">
        <v>26</v>
      </c>
      <c r="E148" s="19" t="s">
        <v>352</v>
      </c>
      <c r="F148" s="18" t="s">
        <v>354</v>
      </c>
      <c r="G148" s="18" t="s">
        <v>57</v>
      </c>
      <c r="H148" s="9">
        <v>6760</v>
      </c>
      <c r="I148" s="56">
        <f t="shared" si="8"/>
        <v>50.699999999999996</v>
      </c>
      <c r="J148" s="21">
        <f t="shared" si="11"/>
        <v>6810.7</v>
      </c>
      <c r="K148" s="53">
        <f t="shared" si="9"/>
        <v>7165.6</v>
      </c>
      <c r="L148" s="22">
        <f t="shared" si="10"/>
        <v>324.90000000000055</v>
      </c>
      <c r="M148" s="16">
        <v>30</v>
      </c>
      <c r="N148" s="15">
        <v>0</v>
      </c>
      <c r="O148" s="15">
        <v>0</v>
      </c>
      <c r="P148" s="15">
        <v>0</v>
      </c>
      <c r="Q148" s="15"/>
      <c r="R148" s="16">
        <v>1</v>
      </c>
      <c r="S148" s="15">
        <v>0</v>
      </c>
      <c r="T148" s="16">
        <f>+N148+O148+P148+R148+S148</f>
        <v>1</v>
      </c>
      <c r="U148" s="17" t="s">
        <v>25</v>
      </c>
    </row>
    <row r="149" spans="1:21" x14ac:dyDescent="0.25">
      <c r="A149" s="7" t="s">
        <v>335</v>
      </c>
      <c r="B149" s="7" t="s">
        <v>148</v>
      </c>
      <c r="C149" s="7" t="s">
        <v>355</v>
      </c>
      <c r="D149" s="7" t="s">
        <v>356</v>
      </c>
      <c r="E149" s="8" t="s">
        <v>149</v>
      </c>
      <c r="F149" s="7" t="s">
        <v>357</v>
      </c>
      <c r="G149" s="7" t="s">
        <v>39</v>
      </c>
      <c r="H149" s="9">
        <v>7350</v>
      </c>
      <c r="I149" s="56">
        <f t="shared" si="8"/>
        <v>55.125</v>
      </c>
      <c r="J149" s="11">
        <f t="shared" si="11"/>
        <v>7405.125</v>
      </c>
      <c r="K149" s="53">
        <f t="shared" si="9"/>
        <v>7791</v>
      </c>
      <c r="L149" s="27">
        <f t="shared" si="10"/>
        <v>285.875</v>
      </c>
      <c r="M149" s="14">
        <v>100</v>
      </c>
      <c r="N149" s="15">
        <v>0</v>
      </c>
      <c r="O149" s="15">
        <v>0</v>
      </c>
      <c r="P149" s="15">
        <v>0</v>
      </c>
      <c r="Q149" s="15"/>
      <c r="R149" s="16">
        <v>0</v>
      </c>
      <c r="S149" s="15">
        <v>6</v>
      </c>
      <c r="T149" s="16">
        <f>+N149+O149+P149+R149+S149</f>
        <v>6</v>
      </c>
      <c r="U149" s="17" t="s">
        <v>25</v>
      </c>
    </row>
    <row r="150" spans="1:21" x14ac:dyDescent="0.25">
      <c r="A150" s="18" t="s">
        <v>335</v>
      </c>
      <c r="B150" s="18" t="s">
        <v>211</v>
      </c>
      <c r="C150" s="18" t="s">
        <v>358</v>
      </c>
      <c r="D150" s="18"/>
      <c r="E150" s="19"/>
      <c r="F150" s="18" t="s">
        <v>359</v>
      </c>
      <c r="G150" s="18" t="s">
        <v>24</v>
      </c>
      <c r="H150" s="9">
        <v>100</v>
      </c>
      <c r="I150" s="56">
        <f t="shared" si="8"/>
        <v>0.75</v>
      </c>
      <c r="J150" s="21">
        <f t="shared" si="11"/>
        <v>100.75</v>
      </c>
      <c r="K150" s="53">
        <v>150</v>
      </c>
      <c r="L150" s="22">
        <f t="shared" si="10"/>
        <v>29.25</v>
      </c>
      <c r="M150" s="16">
        <v>20</v>
      </c>
      <c r="N150" s="15">
        <v>0</v>
      </c>
      <c r="O150" s="15">
        <v>0</v>
      </c>
      <c r="P150" s="15">
        <v>0</v>
      </c>
      <c r="Q150" s="15"/>
      <c r="R150" s="16">
        <v>0</v>
      </c>
      <c r="S150" s="15">
        <v>20</v>
      </c>
      <c r="T150" s="16">
        <f>+N150+O150+P150+R150+S150</f>
        <v>20</v>
      </c>
      <c r="U150" s="17" t="s">
        <v>25</v>
      </c>
    </row>
    <row r="151" spans="1:21" x14ac:dyDescent="0.25">
      <c r="A151" s="18" t="s">
        <v>335</v>
      </c>
      <c r="B151" s="18" t="s">
        <v>87</v>
      </c>
      <c r="C151" s="18" t="s">
        <v>88</v>
      </c>
      <c r="D151" s="18" t="s">
        <v>360</v>
      </c>
      <c r="E151" s="19" t="s">
        <v>361</v>
      </c>
      <c r="F151" s="18" t="s">
        <v>362</v>
      </c>
      <c r="G151" s="18" t="s">
        <v>57</v>
      </c>
      <c r="H151" s="9">
        <v>2370</v>
      </c>
      <c r="I151" s="56">
        <f t="shared" si="8"/>
        <v>17.774999999999999</v>
      </c>
      <c r="J151" s="21">
        <f t="shared" si="11"/>
        <v>2387.7750000000001</v>
      </c>
      <c r="K151" s="53">
        <f t="shared" si="9"/>
        <v>2512.1999999999998</v>
      </c>
      <c r="L151" s="22">
        <f t="shared" si="10"/>
        <v>94.424999999999727</v>
      </c>
      <c r="M151" s="16">
        <v>30</v>
      </c>
      <c r="N151" s="15">
        <v>1</v>
      </c>
      <c r="O151" s="15">
        <v>0</v>
      </c>
      <c r="P151" s="15">
        <v>0</v>
      </c>
      <c r="Q151" s="15"/>
      <c r="R151" s="16">
        <v>0</v>
      </c>
      <c r="S151" s="15">
        <v>1</v>
      </c>
      <c r="T151" s="16">
        <f>+N151+O151+P151+R151+S151</f>
        <v>2</v>
      </c>
      <c r="U151" s="17" t="s">
        <v>25</v>
      </c>
    </row>
    <row r="152" spans="1:21" x14ac:dyDescent="0.25">
      <c r="A152" s="18" t="s">
        <v>335</v>
      </c>
      <c r="B152" s="18" t="s">
        <v>87</v>
      </c>
      <c r="C152" s="18" t="s">
        <v>92</v>
      </c>
      <c r="D152" s="18" t="s">
        <v>363</v>
      </c>
      <c r="E152" s="19" t="s">
        <v>364</v>
      </c>
      <c r="F152" s="18" t="s">
        <v>365</v>
      </c>
      <c r="G152" s="18" t="s">
        <v>57</v>
      </c>
      <c r="H152" s="9">
        <v>2380</v>
      </c>
      <c r="I152" s="56">
        <f t="shared" si="8"/>
        <v>17.849999999999998</v>
      </c>
      <c r="J152" s="21">
        <f t="shared" si="11"/>
        <v>2397.85</v>
      </c>
      <c r="K152" s="53">
        <f t="shared" si="9"/>
        <v>2522.8000000000002</v>
      </c>
      <c r="L152" s="22">
        <f t="shared" si="10"/>
        <v>94.950000000000273</v>
      </c>
      <c r="M152" s="16">
        <v>30</v>
      </c>
      <c r="N152" s="15">
        <v>0</v>
      </c>
      <c r="O152" s="15">
        <v>0</v>
      </c>
      <c r="P152" s="15">
        <v>0</v>
      </c>
      <c r="Q152" s="15"/>
      <c r="R152" s="16">
        <v>0</v>
      </c>
      <c r="S152" s="15">
        <v>2</v>
      </c>
      <c r="T152" s="16">
        <f>+N152+O152+P152+R152+S152</f>
        <v>2</v>
      </c>
      <c r="U152" s="17" t="s">
        <v>25</v>
      </c>
    </row>
    <row r="153" spans="1:21" x14ac:dyDescent="0.25">
      <c r="A153" s="18" t="s">
        <v>335</v>
      </c>
      <c r="B153" s="18" t="s">
        <v>87</v>
      </c>
      <c r="C153" s="18" t="s">
        <v>92</v>
      </c>
      <c r="D153" s="18" t="s">
        <v>366</v>
      </c>
      <c r="E153" s="19" t="s">
        <v>97</v>
      </c>
      <c r="F153" s="18" t="s">
        <v>367</v>
      </c>
      <c r="G153" s="18" t="s">
        <v>57</v>
      </c>
      <c r="H153" s="9">
        <v>3675</v>
      </c>
      <c r="I153" s="56">
        <f t="shared" si="8"/>
        <v>27.5625</v>
      </c>
      <c r="J153" s="21">
        <f t="shared" si="11"/>
        <v>3702.5625</v>
      </c>
      <c r="K153" s="53">
        <f t="shared" si="9"/>
        <v>3895.5</v>
      </c>
      <c r="L153" s="22">
        <f t="shared" si="10"/>
        <v>162.9375</v>
      </c>
      <c r="M153" s="16">
        <v>30</v>
      </c>
      <c r="N153" s="15">
        <v>1</v>
      </c>
      <c r="O153" s="15">
        <v>1</v>
      </c>
      <c r="P153" s="15">
        <v>0</v>
      </c>
      <c r="Q153" s="15"/>
      <c r="R153" s="16">
        <v>0</v>
      </c>
      <c r="S153" s="15">
        <v>1</v>
      </c>
      <c r="T153" s="16">
        <f>+N153+O153+P153+R153+S153</f>
        <v>3</v>
      </c>
      <c r="U153" s="17" t="s">
        <v>25</v>
      </c>
    </row>
    <row r="154" spans="1:21" x14ac:dyDescent="0.25">
      <c r="A154" s="18" t="s">
        <v>335</v>
      </c>
      <c r="B154" s="18" t="s">
        <v>87</v>
      </c>
      <c r="C154" s="18" t="s">
        <v>92</v>
      </c>
      <c r="D154" s="18" t="s">
        <v>368</v>
      </c>
      <c r="E154" s="19" t="s">
        <v>97</v>
      </c>
      <c r="F154" s="18" t="s">
        <v>369</v>
      </c>
      <c r="G154" s="18" t="s">
        <v>57</v>
      </c>
      <c r="H154" s="9">
        <v>4060</v>
      </c>
      <c r="I154" s="56">
        <f t="shared" si="8"/>
        <v>30.45</v>
      </c>
      <c r="J154" s="21">
        <f t="shared" si="11"/>
        <v>4090.45</v>
      </c>
      <c r="K154" s="53">
        <f t="shared" si="9"/>
        <v>4303.6000000000004</v>
      </c>
      <c r="L154" s="22">
        <f t="shared" si="10"/>
        <v>183.15000000000055</v>
      </c>
      <c r="M154" s="16">
        <v>30</v>
      </c>
      <c r="N154" s="15">
        <v>0</v>
      </c>
      <c r="O154" s="15">
        <v>0</v>
      </c>
      <c r="P154" s="15">
        <v>0</v>
      </c>
      <c r="Q154" s="15"/>
      <c r="R154" s="16">
        <v>0</v>
      </c>
      <c r="S154" s="15">
        <v>0</v>
      </c>
      <c r="T154" s="16">
        <f>+N154+O154+P154+R154+S154</f>
        <v>0</v>
      </c>
      <c r="U154" s="17" t="s">
        <v>25</v>
      </c>
    </row>
    <row r="155" spans="1:21" x14ac:dyDescent="0.25">
      <c r="A155" s="18" t="s">
        <v>335</v>
      </c>
      <c r="B155" s="18" t="s">
        <v>87</v>
      </c>
      <c r="C155" s="18" t="s">
        <v>92</v>
      </c>
      <c r="D155" s="18" t="s">
        <v>370</v>
      </c>
      <c r="E155" s="19" t="s">
        <v>97</v>
      </c>
      <c r="F155" s="18" t="s">
        <v>371</v>
      </c>
      <c r="G155" s="18" t="s">
        <v>57</v>
      </c>
      <c r="H155" s="9">
        <v>5250</v>
      </c>
      <c r="I155" s="56">
        <f t="shared" si="8"/>
        <v>39.375</v>
      </c>
      <c r="J155" s="21">
        <f t="shared" si="11"/>
        <v>5289.375</v>
      </c>
      <c r="K155" s="53">
        <f t="shared" si="9"/>
        <v>5565</v>
      </c>
      <c r="L155" s="22">
        <f t="shared" si="10"/>
        <v>225.625</v>
      </c>
      <c r="M155" s="16">
        <v>50</v>
      </c>
      <c r="N155" s="15">
        <v>0</v>
      </c>
      <c r="O155" s="15">
        <v>1</v>
      </c>
      <c r="P155" s="15">
        <v>0</v>
      </c>
      <c r="Q155" s="15"/>
      <c r="R155" s="16">
        <v>0</v>
      </c>
      <c r="S155" s="15">
        <v>4</v>
      </c>
      <c r="T155" s="16">
        <f>+N155+O155+P155+R155+S155</f>
        <v>5</v>
      </c>
      <c r="U155" s="17" t="s">
        <v>25</v>
      </c>
    </row>
    <row r="156" spans="1:21" x14ac:dyDescent="0.25">
      <c r="A156" s="18" t="s">
        <v>335</v>
      </c>
      <c r="B156" s="18" t="s">
        <v>87</v>
      </c>
      <c r="C156" s="18" t="s">
        <v>92</v>
      </c>
      <c r="D156" s="18" t="s">
        <v>372</v>
      </c>
      <c r="E156" s="19" t="s">
        <v>97</v>
      </c>
      <c r="F156" s="18" t="s">
        <v>373</v>
      </c>
      <c r="G156" s="18" t="s">
        <v>57</v>
      </c>
      <c r="H156" s="9">
        <v>6020</v>
      </c>
      <c r="I156" s="56">
        <f t="shared" si="8"/>
        <v>45.15</v>
      </c>
      <c r="J156" s="21">
        <f t="shared" si="11"/>
        <v>6065.15</v>
      </c>
      <c r="K156" s="53">
        <f t="shared" si="9"/>
        <v>6381.2</v>
      </c>
      <c r="L156" s="22">
        <f t="shared" si="10"/>
        <v>216.05000000000018</v>
      </c>
      <c r="M156" s="16">
        <v>100</v>
      </c>
      <c r="N156" s="15">
        <v>0</v>
      </c>
      <c r="O156" s="15">
        <v>0</v>
      </c>
      <c r="P156" s="15">
        <v>0</v>
      </c>
      <c r="Q156" s="15"/>
      <c r="R156" s="16">
        <v>0</v>
      </c>
      <c r="S156" s="15">
        <v>2</v>
      </c>
      <c r="T156" s="16">
        <f>+N156+O156+P156+R156+S156</f>
        <v>2</v>
      </c>
      <c r="U156" s="17" t="s">
        <v>25</v>
      </c>
    </row>
    <row r="157" spans="1:21" x14ac:dyDescent="0.25">
      <c r="A157" s="18" t="s">
        <v>335</v>
      </c>
      <c r="B157" s="18" t="s">
        <v>374</v>
      </c>
      <c r="C157" s="18" t="s">
        <v>88</v>
      </c>
      <c r="D157" s="18"/>
      <c r="E157" s="19" t="s">
        <v>375</v>
      </c>
      <c r="F157" s="18" t="s">
        <v>376</v>
      </c>
      <c r="G157" s="18" t="s">
        <v>57</v>
      </c>
      <c r="H157" s="9">
        <v>1225</v>
      </c>
      <c r="I157" s="56">
        <f t="shared" si="8"/>
        <v>9.1875</v>
      </c>
      <c r="J157" s="21">
        <f t="shared" si="11"/>
        <v>1234.1875</v>
      </c>
      <c r="K157" s="53">
        <f t="shared" si="9"/>
        <v>1298.5</v>
      </c>
      <c r="L157" s="22">
        <f t="shared" si="10"/>
        <v>44.3125</v>
      </c>
      <c r="M157" s="16">
        <v>20</v>
      </c>
      <c r="N157" s="15">
        <v>1</v>
      </c>
      <c r="O157" s="15">
        <v>0</v>
      </c>
      <c r="P157" s="15">
        <v>1</v>
      </c>
      <c r="Q157" s="15"/>
      <c r="R157" s="16">
        <v>0</v>
      </c>
      <c r="S157" s="15">
        <v>7</v>
      </c>
      <c r="T157" s="16">
        <f>+N157+O157+P157+R157+S157</f>
        <v>9</v>
      </c>
      <c r="U157" s="17" t="s">
        <v>25</v>
      </c>
    </row>
    <row r="158" spans="1:21" x14ac:dyDescent="0.25">
      <c r="A158" s="18" t="s">
        <v>335</v>
      </c>
      <c r="B158" s="18" t="s">
        <v>374</v>
      </c>
      <c r="C158" s="18" t="s">
        <v>92</v>
      </c>
      <c r="D158" s="18"/>
      <c r="E158" s="19" t="s">
        <v>375</v>
      </c>
      <c r="F158" s="18" t="s">
        <v>377</v>
      </c>
      <c r="G158" s="18" t="s">
        <v>57</v>
      </c>
      <c r="H158" s="9">
        <v>1555</v>
      </c>
      <c r="I158" s="56">
        <f t="shared" si="8"/>
        <v>11.6625</v>
      </c>
      <c r="J158" s="21">
        <f t="shared" si="11"/>
        <v>1566.6624999999999</v>
      </c>
      <c r="K158" s="53">
        <f t="shared" si="9"/>
        <v>1648.3</v>
      </c>
      <c r="L158" s="22">
        <f t="shared" si="10"/>
        <v>61.637500000000045</v>
      </c>
      <c r="M158" s="16">
        <v>20</v>
      </c>
      <c r="N158" s="15">
        <v>1</v>
      </c>
      <c r="O158" s="15">
        <v>1</v>
      </c>
      <c r="P158" s="15">
        <v>1</v>
      </c>
      <c r="Q158" s="15"/>
      <c r="R158" s="16">
        <v>0</v>
      </c>
      <c r="S158" s="15">
        <v>8</v>
      </c>
      <c r="T158" s="16">
        <f>+N158+O158+P158+R158+S158</f>
        <v>11</v>
      </c>
      <c r="U158" s="17" t="s">
        <v>25</v>
      </c>
    </row>
    <row r="159" spans="1:21" x14ac:dyDescent="0.25">
      <c r="A159" s="7" t="s">
        <v>335</v>
      </c>
      <c r="B159" s="7" t="s">
        <v>374</v>
      </c>
      <c r="C159" s="7" t="s">
        <v>88</v>
      </c>
      <c r="D159" s="7"/>
      <c r="E159" s="8" t="s">
        <v>375</v>
      </c>
      <c r="F159" s="7" t="s">
        <v>378</v>
      </c>
      <c r="G159" s="7" t="s">
        <v>57</v>
      </c>
      <c r="H159" s="9">
        <v>1645</v>
      </c>
      <c r="I159" s="56">
        <f t="shared" si="8"/>
        <v>12.3375</v>
      </c>
      <c r="J159" s="11">
        <f t="shared" si="11"/>
        <v>1657.3375000000001</v>
      </c>
      <c r="K159" s="53">
        <f t="shared" si="9"/>
        <v>1743.7</v>
      </c>
      <c r="L159" s="13">
        <f t="shared" si="10"/>
        <v>76.362499999999955</v>
      </c>
      <c r="M159" s="14">
        <v>10</v>
      </c>
      <c r="N159" s="15">
        <v>0</v>
      </c>
      <c r="O159" s="15">
        <v>0</v>
      </c>
      <c r="P159" s="15">
        <v>1</v>
      </c>
      <c r="Q159" s="15"/>
      <c r="R159" s="16">
        <v>0</v>
      </c>
      <c r="S159" s="15">
        <v>11</v>
      </c>
      <c r="T159" s="16">
        <f>+N159+O159+P159+R159+S159</f>
        <v>12</v>
      </c>
      <c r="U159" s="17" t="s">
        <v>25</v>
      </c>
    </row>
    <row r="160" spans="1:21" x14ac:dyDescent="0.25">
      <c r="A160" s="7" t="s">
        <v>335</v>
      </c>
      <c r="B160" s="7" t="s">
        <v>78</v>
      </c>
      <c r="C160" s="7" t="s">
        <v>79</v>
      </c>
      <c r="D160" s="7" t="s">
        <v>80</v>
      </c>
      <c r="E160" s="8" t="s">
        <v>81</v>
      </c>
      <c r="F160" s="7" t="s">
        <v>379</v>
      </c>
      <c r="G160" s="7" t="s">
        <v>39</v>
      </c>
      <c r="H160" s="9">
        <v>2523</v>
      </c>
      <c r="I160" s="56">
        <f t="shared" si="8"/>
        <v>18.922499999999999</v>
      </c>
      <c r="J160" s="11">
        <f t="shared" si="11"/>
        <v>2541.9225000000001</v>
      </c>
      <c r="K160" s="53">
        <f t="shared" si="9"/>
        <v>2674.38</v>
      </c>
      <c r="L160" s="13">
        <f t="shared" si="10"/>
        <v>82.457499999999982</v>
      </c>
      <c r="M160" s="14">
        <v>50</v>
      </c>
      <c r="N160" s="15">
        <v>1</v>
      </c>
      <c r="O160" s="15">
        <v>1</v>
      </c>
      <c r="P160" s="15">
        <v>1</v>
      </c>
      <c r="Q160" s="15"/>
      <c r="R160" s="16">
        <v>0</v>
      </c>
      <c r="S160" s="15">
        <v>6</v>
      </c>
      <c r="T160" s="16">
        <f>+N160+O160+P160+R160+S160</f>
        <v>9</v>
      </c>
      <c r="U160" s="17" t="s">
        <v>190</v>
      </c>
    </row>
    <row r="161" spans="1:21" x14ac:dyDescent="0.25">
      <c r="A161" s="7" t="s">
        <v>335</v>
      </c>
      <c r="B161" s="7" t="s">
        <v>78</v>
      </c>
      <c r="C161" s="7" t="s">
        <v>79</v>
      </c>
      <c r="D161" s="7" t="s">
        <v>80</v>
      </c>
      <c r="E161" s="8" t="s">
        <v>81</v>
      </c>
      <c r="F161" s="7" t="s">
        <v>380</v>
      </c>
      <c r="G161" s="7" t="s">
        <v>166</v>
      </c>
      <c r="H161" s="9">
        <v>2400</v>
      </c>
      <c r="I161" s="56">
        <f t="shared" si="8"/>
        <v>18</v>
      </c>
      <c r="J161" s="11">
        <f>+H161+I161</f>
        <v>2418</v>
      </c>
      <c r="K161" s="53">
        <f t="shared" si="9"/>
        <v>2544</v>
      </c>
      <c r="L161" s="13">
        <f t="shared" si="10"/>
        <v>76</v>
      </c>
      <c r="M161" s="14">
        <v>50</v>
      </c>
      <c r="N161" s="15">
        <v>0</v>
      </c>
      <c r="O161" s="15">
        <v>1</v>
      </c>
      <c r="P161" s="15">
        <v>0</v>
      </c>
      <c r="Q161" s="15"/>
      <c r="R161" s="16">
        <v>0</v>
      </c>
      <c r="S161" s="15">
        <v>2</v>
      </c>
      <c r="T161" s="16">
        <f>+N161+O161+P161+R161+S161</f>
        <v>3</v>
      </c>
      <c r="U161" s="17" t="s">
        <v>190</v>
      </c>
    </row>
    <row r="162" spans="1:21" x14ac:dyDescent="0.25">
      <c r="A162" s="7" t="s">
        <v>335</v>
      </c>
      <c r="B162" s="7" t="s">
        <v>47</v>
      </c>
      <c r="C162" s="7" t="s">
        <v>105</v>
      </c>
      <c r="D162" s="7" t="s">
        <v>106</v>
      </c>
      <c r="E162" s="8" t="s">
        <v>381</v>
      </c>
      <c r="F162" s="7" t="s">
        <v>382</v>
      </c>
      <c r="G162" s="7" t="s">
        <v>24</v>
      </c>
      <c r="H162" s="9">
        <v>1015</v>
      </c>
      <c r="I162" s="56">
        <f t="shared" si="8"/>
        <v>7.6124999999999998</v>
      </c>
      <c r="J162" s="11">
        <f>+H162+I162</f>
        <v>1022.6125</v>
      </c>
      <c r="K162" s="53">
        <f t="shared" si="9"/>
        <v>1075.9000000000001</v>
      </c>
      <c r="L162" s="13">
        <f t="shared" si="10"/>
        <v>33.287500000000136</v>
      </c>
      <c r="M162" s="14">
        <v>20</v>
      </c>
      <c r="N162" s="15">
        <v>0</v>
      </c>
      <c r="O162" s="15">
        <v>1</v>
      </c>
      <c r="P162" s="15">
        <v>1</v>
      </c>
      <c r="Q162" s="15"/>
      <c r="R162" s="16">
        <v>0</v>
      </c>
      <c r="S162" s="15">
        <v>6</v>
      </c>
      <c r="T162" s="16">
        <f>+N162+O162+P162+R162+S162</f>
        <v>8</v>
      </c>
      <c r="U162" s="17" t="s">
        <v>25</v>
      </c>
    </row>
    <row r="163" spans="1:21" x14ac:dyDescent="0.25">
      <c r="A163" s="7" t="s">
        <v>335</v>
      </c>
      <c r="B163" s="7" t="s">
        <v>47</v>
      </c>
      <c r="C163" s="7" t="s">
        <v>105</v>
      </c>
      <c r="D163" s="7" t="s">
        <v>383</v>
      </c>
      <c r="E163" s="8" t="s">
        <v>279</v>
      </c>
      <c r="F163" s="7" t="s">
        <v>384</v>
      </c>
      <c r="G163" s="7" t="s">
        <v>24</v>
      </c>
      <c r="H163" s="9">
        <v>1400</v>
      </c>
      <c r="I163" s="56">
        <f t="shared" si="8"/>
        <v>10.5</v>
      </c>
      <c r="J163" s="11">
        <f t="shared" si="11"/>
        <v>1410.5</v>
      </c>
      <c r="K163" s="53">
        <f t="shared" si="9"/>
        <v>1484</v>
      </c>
      <c r="L163" s="13">
        <f t="shared" si="10"/>
        <v>53.5</v>
      </c>
      <c r="M163" s="14">
        <v>20</v>
      </c>
      <c r="N163" s="15">
        <v>0</v>
      </c>
      <c r="O163" s="15">
        <v>0</v>
      </c>
      <c r="P163" s="15">
        <v>0</v>
      </c>
      <c r="Q163" s="15"/>
      <c r="R163" s="16">
        <v>0</v>
      </c>
      <c r="S163" s="15">
        <v>6</v>
      </c>
      <c r="T163" s="16">
        <f>+N163+O163+P163+R163+S163</f>
        <v>6</v>
      </c>
      <c r="U163" s="17" t="s">
        <v>25</v>
      </c>
    </row>
    <row r="164" spans="1:21" x14ac:dyDescent="0.25">
      <c r="A164" s="18" t="s">
        <v>335</v>
      </c>
      <c r="B164" s="18" t="s">
        <v>78</v>
      </c>
      <c r="C164" s="18" t="s">
        <v>83</v>
      </c>
      <c r="D164" s="18" t="s">
        <v>84</v>
      </c>
      <c r="E164" s="19" t="s">
        <v>85</v>
      </c>
      <c r="F164" s="18" t="s">
        <v>385</v>
      </c>
      <c r="G164" s="18" t="s">
        <v>24</v>
      </c>
      <c r="H164" s="9">
        <v>5800</v>
      </c>
      <c r="I164" s="56">
        <f t="shared" si="8"/>
        <v>43.5</v>
      </c>
      <c r="J164" s="21">
        <f t="shared" si="11"/>
        <v>5843.5</v>
      </c>
      <c r="K164" s="53">
        <f t="shared" si="9"/>
        <v>6148</v>
      </c>
      <c r="L164" s="22">
        <f t="shared" si="10"/>
        <v>254.5</v>
      </c>
      <c r="M164" s="16">
        <v>50</v>
      </c>
      <c r="N164" s="15">
        <v>0</v>
      </c>
      <c r="O164" s="15">
        <v>0</v>
      </c>
      <c r="P164" s="15">
        <v>0</v>
      </c>
      <c r="Q164" s="15"/>
      <c r="R164" s="16">
        <v>0</v>
      </c>
      <c r="S164" s="15">
        <v>1</v>
      </c>
      <c r="T164" s="16">
        <f>+N164+O164+P164+R164+S164</f>
        <v>1</v>
      </c>
      <c r="U164" s="17" t="s">
        <v>25</v>
      </c>
    </row>
    <row r="165" spans="1:21" x14ac:dyDescent="0.25">
      <c r="A165" s="18" t="s">
        <v>386</v>
      </c>
      <c r="B165" s="18" t="s">
        <v>19</v>
      </c>
      <c r="C165" s="18" t="s">
        <v>48</v>
      </c>
      <c r="D165" s="18" t="s">
        <v>21</v>
      </c>
      <c r="E165" s="19" t="s">
        <v>387</v>
      </c>
      <c r="F165" s="18" t="s">
        <v>388</v>
      </c>
      <c r="G165" s="18" t="s">
        <v>389</v>
      </c>
      <c r="H165" s="9">
        <v>1400</v>
      </c>
      <c r="I165" s="56">
        <f t="shared" si="8"/>
        <v>10.5</v>
      </c>
      <c r="J165" s="21">
        <f t="shared" si="11"/>
        <v>1410.5</v>
      </c>
      <c r="K165" s="53">
        <f t="shared" si="9"/>
        <v>1484</v>
      </c>
      <c r="L165" s="22">
        <f t="shared" si="10"/>
        <v>43.5</v>
      </c>
      <c r="M165" s="16">
        <v>30</v>
      </c>
      <c r="N165" s="15">
        <v>0</v>
      </c>
      <c r="O165" s="15">
        <v>0</v>
      </c>
      <c r="P165" s="15">
        <v>0</v>
      </c>
      <c r="Q165" s="15"/>
      <c r="R165" s="16">
        <v>0</v>
      </c>
      <c r="S165" s="15">
        <v>4</v>
      </c>
      <c r="T165" s="16">
        <f>+N165+O165+P165+R165+S165</f>
        <v>4</v>
      </c>
      <c r="U165" s="17" t="s">
        <v>25</v>
      </c>
    </row>
    <row r="166" spans="1:21" x14ac:dyDescent="0.25">
      <c r="A166" s="31" t="s">
        <v>390</v>
      </c>
      <c r="B166" s="31" t="s">
        <v>87</v>
      </c>
      <c r="C166" s="31" t="s">
        <v>92</v>
      </c>
      <c r="D166" s="31" t="s">
        <v>391</v>
      </c>
      <c r="E166" s="32" t="s">
        <v>392</v>
      </c>
      <c r="F166" s="31" t="s">
        <v>393</v>
      </c>
      <c r="G166" s="31" t="s">
        <v>57</v>
      </c>
      <c r="H166" s="9">
        <v>5000</v>
      </c>
      <c r="I166" s="56">
        <f t="shared" si="8"/>
        <v>37.5</v>
      </c>
      <c r="J166" s="34">
        <f t="shared" si="11"/>
        <v>5037.5</v>
      </c>
      <c r="K166" s="53">
        <f t="shared" si="9"/>
        <v>5300</v>
      </c>
      <c r="L166" s="35">
        <f t="shared" si="10"/>
        <v>212.5</v>
      </c>
      <c r="M166" s="33">
        <v>50</v>
      </c>
      <c r="N166" s="12">
        <v>1</v>
      </c>
      <c r="O166" s="12">
        <v>0</v>
      </c>
      <c r="P166" s="12">
        <v>1</v>
      </c>
      <c r="Q166" s="12"/>
      <c r="R166" s="20">
        <v>0</v>
      </c>
      <c r="S166" s="12">
        <v>6</v>
      </c>
      <c r="T166" s="16">
        <f>+N166+O166+P166+R166+S166</f>
        <v>8</v>
      </c>
      <c r="U166" s="17" t="s">
        <v>394</v>
      </c>
    </row>
    <row r="167" spans="1:21" x14ac:dyDescent="0.25">
      <c r="A167" s="31" t="s">
        <v>395</v>
      </c>
      <c r="B167" s="31" t="s">
        <v>47</v>
      </c>
      <c r="C167" s="31" t="s">
        <v>105</v>
      </c>
      <c r="D167" s="31" t="s">
        <v>106</v>
      </c>
      <c r="E167" s="32" t="s">
        <v>381</v>
      </c>
      <c r="F167" s="31" t="s">
        <v>396</v>
      </c>
      <c r="G167" s="31" t="s">
        <v>24</v>
      </c>
      <c r="H167" s="9">
        <v>673</v>
      </c>
      <c r="I167" s="56">
        <f t="shared" si="8"/>
        <v>5.0474999999999994</v>
      </c>
      <c r="J167" s="34">
        <f t="shared" si="11"/>
        <v>678.04750000000001</v>
      </c>
      <c r="K167" s="53">
        <f t="shared" si="9"/>
        <v>713.38</v>
      </c>
      <c r="L167" s="36">
        <f t="shared" si="10"/>
        <v>15.332499999999982</v>
      </c>
      <c r="M167" s="37">
        <v>20</v>
      </c>
      <c r="N167" s="15">
        <v>0</v>
      </c>
      <c r="O167" s="15">
        <v>1</v>
      </c>
      <c r="P167" s="15">
        <v>1</v>
      </c>
      <c r="Q167" s="15"/>
      <c r="R167" s="16">
        <v>0</v>
      </c>
      <c r="S167" s="15">
        <v>4</v>
      </c>
      <c r="T167" s="16">
        <f>+N167+O167+P167+R167+S167</f>
        <v>6</v>
      </c>
      <c r="U167" s="17" t="s">
        <v>68</v>
      </c>
    </row>
    <row r="168" spans="1:21" x14ac:dyDescent="0.25">
      <c r="A168" s="31" t="s">
        <v>395</v>
      </c>
      <c r="B168" s="31" t="s">
        <v>47</v>
      </c>
      <c r="C168" s="31" t="s">
        <v>105</v>
      </c>
      <c r="D168" s="31" t="s">
        <v>397</v>
      </c>
      <c r="E168" s="32" t="s">
        <v>279</v>
      </c>
      <c r="F168" s="31" t="s">
        <v>398</v>
      </c>
      <c r="G168" s="31" t="s">
        <v>24</v>
      </c>
      <c r="H168" s="9">
        <v>980</v>
      </c>
      <c r="I168" s="56">
        <f t="shared" si="8"/>
        <v>7.35</v>
      </c>
      <c r="J168" s="34">
        <f t="shared" si="11"/>
        <v>987.35</v>
      </c>
      <c r="K168" s="53">
        <f t="shared" si="9"/>
        <v>1038.8</v>
      </c>
      <c r="L168" s="36">
        <f t="shared" si="10"/>
        <v>31.449999999999932</v>
      </c>
      <c r="M168" s="37">
        <v>20</v>
      </c>
      <c r="N168" s="15">
        <v>1</v>
      </c>
      <c r="O168" s="15">
        <v>1</v>
      </c>
      <c r="P168" s="15">
        <v>1</v>
      </c>
      <c r="Q168" s="15"/>
      <c r="R168" s="16">
        <v>0</v>
      </c>
      <c r="S168" s="15">
        <v>6</v>
      </c>
      <c r="T168" s="16">
        <f>+N168+O168+P168+R168+S168</f>
        <v>9</v>
      </c>
      <c r="U168" s="17" t="s">
        <v>68</v>
      </c>
    </row>
    <row r="169" spans="1:21" x14ac:dyDescent="0.25">
      <c r="A169" s="18" t="s">
        <v>395</v>
      </c>
      <c r="B169" s="18" t="s">
        <v>19</v>
      </c>
      <c r="C169" s="18" t="s">
        <v>20</v>
      </c>
      <c r="D169" s="18" t="s">
        <v>21</v>
      </c>
      <c r="E169" s="19" t="s">
        <v>399</v>
      </c>
      <c r="F169" s="18" t="s">
        <v>400</v>
      </c>
      <c r="G169" s="18" t="s">
        <v>24</v>
      </c>
      <c r="H169" s="9">
        <v>1593</v>
      </c>
      <c r="I169" s="56">
        <f t="shared" si="8"/>
        <v>11.9475</v>
      </c>
      <c r="J169" s="21">
        <f t="shared" si="11"/>
        <v>1604.9475</v>
      </c>
      <c r="K169" s="53">
        <f t="shared" si="9"/>
        <v>1688.58</v>
      </c>
      <c r="L169" s="22">
        <f t="shared" si="10"/>
        <v>73.632499999999936</v>
      </c>
      <c r="M169" s="16">
        <v>10</v>
      </c>
      <c r="N169" s="15">
        <v>0</v>
      </c>
      <c r="O169" s="15">
        <v>0</v>
      </c>
      <c r="P169" s="15">
        <v>0</v>
      </c>
      <c r="Q169" s="15"/>
      <c r="R169" s="16">
        <v>0</v>
      </c>
      <c r="S169" s="15">
        <v>1</v>
      </c>
      <c r="T169" s="16">
        <f>+N169+O169+P169+R169+S169</f>
        <v>1</v>
      </c>
      <c r="U169" s="17" t="s">
        <v>68</v>
      </c>
    </row>
    <row r="170" spans="1:21" x14ac:dyDescent="0.25">
      <c r="A170" s="31" t="s">
        <v>395</v>
      </c>
      <c r="B170" s="31" t="s">
        <v>19</v>
      </c>
      <c r="C170" s="31" t="s">
        <v>20</v>
      </c>
      <c r="D170" s="31" t="s">
        <v>21</v>
      </c>
      <c r="E170" s="32" t="s">
        <v>401</v>
      </c>
      <c r="F170" s="31" t="s">
        <v>402</v>
      </c>
      <c r="G170" s="31" t="s">
        <v>24</v>
      </c>
      <c r="H170" s="9">
        <v>1285</v>
      </c>
      <c r="I170" s="56">
        <f t="shared" si="8"/>
        <v>9.6374999999999993</v>
      </c>
      <c r="J170" s="34">
        <f t="shared" si="11"/>
        <v>1294.6375</v>
      </c>
      <c r="K170" s="53">
        <f t="shared" si="9"/>
        <v>1362.1</v>
      </c>
      <c r="L170" s="36">
        <f t="shared" si="10"/>
        <v>37.462499999999864</v>
      </c>
      <c r="M170" s="37">
        <v>30</v>
      </c>
      <c r="N170" s="15">
        <v>1</v>
      </c>
      <c r="O170" s="15">
        <v>0</v>
      </c>
      <c r="P170" s="15">
        <v>0</v>
      </c>
      <c r="Q170" s="15"/>
      <c r="R170" s="16">
        <v>0</v>
      </c>
      <c r="S170" s="15">
        <v>20</v>
      </c>
      <c r="T170" s="16">
        <f>+N170+O170+P170+R170+S170</f>
        <v>21</v>
      </c>
      <c r="U170" s="17" t="s">
        <v>68</v>
      </c>
    </row>
    <row r="171" spans="1:21" x14ac:dyDescent="0.25">
      <c r="A171" s="18" t="s">
        <v>395</v>
      </c>
      <c r="B171" s="18" t="s">
        <v>19</v>
      </c>
      <c r="C171" s="18" t="s">
        <v>20</v>
      </c>
      <c r="D171" s="18" t="s">
        <v>146</v>
      </c>
      <c r="E171" s="19" t="s">
        <v>403</v>
      </c>
      <c r="F171" s="18" t="s">
        <v>404</v>
      </c>
      <c r="G171" s="18" t="s">
        <v>57</v>
      </c>
      <c r="H171" s="9">
        <v>2832</v>
      </c>
      <c r="I171" s="56">
        <f t="shared" si="8"/>
        <v>21.24</v>
      </c>
      <c r="J171" s="21">
        <f t="shared" si="11"/>
        <v>2853.24</v>
      </c>
      <c r="K171" s="53">
        <f t="shared" si="9"/>
        <v>3001.92</v>
      </c>
      <c r="L171" s="22">
        <f t="shared" si="10"/>
        <v>98.680000000000291</v>
      </c>
      <c r="M171" s="16">
        <v>50</v>
      </c>
      <c r="N171" s="15">
        <v>0</v>
      </c>
      <c r="O171" s="15">
        <v>0</v>
      </c>
      <c r="P171" s="15">
        <v>1</v>
      </c>
      <c r="Q171" s="15"/>
      <c r="R171" s="16">
        <v>0</v>
      </c>
      <c r="S171" s="15">
        <v>0</v>
      </c>
      <c r="T171" s="16">
        <f>+N171+O171+P171+R171+S171</f>
        <v>1</v>
      </c>
      <c r="U171" s="17" t="s">
        <v>68</v>
      </c>
    </row>
    <row r="172" spans="1:21" x14ac:dyDescent="0.25">
      <c r="A172" s="18" t="s">
        <v>395</v>
      </c>
      <c r="B172" s="18" t="s">
        <v>19</v>
      </c>
      <c r="C172" s="18" t="s">
        <v>20</v>
      </c>
      <c r="D172" s="18" t="s">
        <v>26</v>
      </c>
      <c r="E172" s="19" t="s">
        <v>403</v>
      </c>
      <c r="F172" s="18" t="s">
        <v>405</v>
      </c>
      <c r="G172" s="18" t="s">
        <v>57</v>
      </c>
      <c r="H172" s="9">
        <v>3115</v>
      </c>
      <c r="I172" s="56">
        <f t="shared" si="8"/>
        <v>23.362500000000001</v>
      </c>
      <c r="J172" s="21">
        <f t="shared" si="11"/>
        <v>3138.3625000000002</v>
      </c>
      <c r="K172" s="53">
        <f t="shared" si="9"/>
        <v>3301.9</v>
      </c>
      <c r="L172" s="22">
        <f t="shared" si="10"/>
        <v>113.53749999999991</v>
      </c>
      <c r="M172" s="16">
        <v>50</v>
      </c>
      <c r="N172" s="15">
        <v>1</v>
      </c>
      <c r="O172" s="15">
        <v>1</v>
      </c>
      <c r="P172" s="15">
        <v>1</v>
      </c>
      <c r="Q172" s="15"/>
      <c r="R172" s="16">
        <v>0</v>
      </c>
      <c r="S172" s="15">
        <v>1</v>
      </c>
      <c r="T172" s="16">
        <f>+N172+O172+P172+R172+S172</f>
        <v>4</v>
      </c>
      <c r="U172" s="17" t="s">
        <v>68</v>
      </c>
    </row>
    <row r="173" spans="1:21" x14ac:dyDescent="0.25">
      <c r="A173" s="18" t="s">
        <v>395</v>
      </c>
      <c r="B173" s="18" t="s">
        <v>19</v>
      </c>
      <c r="C173" s="18" t="s">
        <v>20</v>
      </c>
      <c r="D173" s="18" t="s">
        <v>146</v>
      </c>
      <c r="E173" s="19" t="s">
        <v>403</v>
      </c>
      <c r="F173" s="18" t="s">
        <v>406</v>
      </c>
      <c r="G173" s="18" t="s">
        <v>57</v>
      </c>
      <c r="H173" s="9">
        <v>5806</v>
      </c>
      <c r="I173" s="56">
        <f t="shared" si="8"/>
        <v>43.545000000000002</v>
      </c>
      <c r="J173" s="21">
        <f t="shared" si="11"/>
        <v>5849.5450000000001</v>
      </c>
      <c r="K173" s="53">
        <f t="shared" si="9"/>
        <v>6154.36</v>
      </c>
      <c r="L173" s="22">
        <f t="shared" si="10"/>
        <v>254.8149999999996</v>
      </c>
      <c r="M173" s="16">
        <v>50</v>
      </c>
      <c r="N173" s="15">
        <v>1</v>
      </c>
      <c r="O173" s="15">
        <v>0</v>
      </c>
      <c r="P173" s="15">
        <v>0</v>
      </c>
      <c r="Q173" s="15"/>
      <c r="R173" s="16">
        <v>0</v>
      </c>
      <c r="S173" s="15">
        <v>0</v>
      </c>
      <c r="T173" s="16">
        <f>+N173+O173+P173+R173+S173</f>
        <v>1</v>
      </c>
      <c r="U173" s="17" t="s">
        <v>68</v>
      </c>
    </row>
    <row r="174" spans="1:21" x14ac:dyDescent="0.25">
      <c r="A174" s="18" t="s">
        <v>395</v>
      </c>
      <c r="B174" s="18" t="s">
        <v>19</v>
      </c>
      <c r="C174" s="18" t="s">
        <v>20</v>
      </c>
      <c r="D174" s="18" t="s">
        <v>21</v>
      </c>
      <c r="E174" s="19" t="s">
        <v>403</v>
      </c>
      <c r="F174" s="18" t="s">
        <v>407</v>
      </c>
      <c r="G174" s="18" t="s">
        <v>57</v>
      </c>
      <c r="H174" s="9">
        <v>3328</v>
      </c>
      <c r="I174" s="56">
        <f t="shared" si="8"/>
        <v>24.96</v>
      </c>
      <c r="J174" s="21">
        <f t="shared" si="11"/>
        <v>3352.96</v>
      </c>
      <c r="K174" s="53">
        <f t="shared" si="9"/>
        <v>3527.68</v>
      </c>
      <c r="L174" s="22">
        <f t="shared" si="10"/>
        <v>124.7199999999998</v>
      </c>
      <c r="M174" s="16">
        <v>50</v>
      </c>
      <c r="N174" s="15">
        <v>0</v>
      </c>
      <c r="O174" s="15">
        <v>0</v>
      </c>
      <c r="P174" s="15">
        <v>1</v>
      </c>
      <c r="Q174" s="15"/>
      <c r="R174" s="16">
        <v>0</v>
      </c>
      <c r="S174" s="15">
        <v>0</v>
      </c>
      <c r="T174" s="16">
        <f>+N174+O174+P174+R174+S174</f>
        <v>1</v>
      </c>
      <c r="U174" s="17" t="s">
        <v>68</v>
      </c>
    </row>
    <row r="175" spans="1:21" x14ac:dyDescent="0.25">
      <c r="A175" s="18" t="s">
        <v>395</v>
      </c>
      <c r="B175" s="18" t="s">
        <v>374</v>
      </c>
      <c r="C175" s="18" t="s">
        <v>88</v>
      </c>
      <c r="D175" s="18" t="s">
        <v>408</v>
      </c>
      <c r="E175" s="19" t="s">
        <v>94</v>
      </c>
      <c r="F175" s="18" t="s">
        <v>409</v>
      </c>
      <c r="G175" s="18" t="s">
        <v>24</v>
      </c>
      <c r="H175" s="9">
        <v>1240</v>
      </c>
      <c r="I175" s="56">
        <f t="shared" si="8"/>
        <v>9.2999999999999989</v>
      </c>
      <c r="J175" s="21">
        <f t="shared" si="11"/>
        <v>1249.3</v>
      </c>
      <c r="K175" s="53">
        <f t="shared" si="9"/>
        <v>1314.4</v>
      </c>
      <c r="L175" s="22">
        <f t="shared" si="10"/>
        <v>55.100000000000136</v>
      </c>
      <c r="M175" s="16">
        <v>10</v>
      </c>
      <c r="N175" s="15">
        <v>1</v>
      </c>
      <c r="O175" s="15">
        <v>1</v>
      </c>
      <c r="P175" s="15">
        <v>1</v>
      </c>
      <c r="Q175" s="15"/>
      <c r="R175" s="16">
        <v>0</v>
      </c>
      <c r="S175" s="15">
        <v>2</v>
      </c>
      <c r="T175" s="16">
        <f>+N175+O175+P175+R175+S175</f>
        <v>5</v>
      </c>
      <c r="U175" s="17" t="s">
        <v>68</v>
      </c>
    </row>
    <row r="176" spans="1:21" x14ac:dyDescent="0.25">
      <c r="A176" s="18" t="s">
        <v>395</v>
      </c>
      <c r="B176" s="18" t="s">
        <v>374</v>
      </c>
      <c r="C176" s="18" t="s">
        <v>88</v>
      </c>
      <c r="D176" s="18" t="s">
        <v>410</v>
      </c>
      <c r="E176" s="19" t="s">
        <v>94</v>
      </c>
      <c r="F176" s="18" t="s">
        <v>411</v>
      </c>
      <c r="G176" s="18" t="s">
        <v>166</v>
      </c>
      <c r="H176" s="9">
        <v>1440</v>
      </c>
      <c r="I176" s="56">
        <f t="shared" si="8"/>
        <v>10.799999999999999</v>
      </c>
      <c r="J176" s="21">
        <f t="shared" si="11"/>
        <v>1450.8</v>
      </c>
      <c r="K176" s="53">
        <f t="shared" si="9"/>
        <v>1526.4</v>
      </c>
      <c r="L176" s="22">
        <f t="shared" si="10"/>
        <v>55.600000000000136</v>
      </c>
      <c r="M176" s="16">
        <v>20</v>
      </c>
      <c r="N176" s="15">
        <v>1</v>
      </c>
      <c r="O176" s="15">
        <v>0</v>
      </c>
      <c r="P176" s="15">
        <v>1</v>
      </c>
      <c r="Q176" s="15"/>
      <c r="R176" s="16">
        <v>0</v>
      </c>
      <c r="S176" s="15">
        <v>8</v>
      </c>
      <c r="T176" s="16">
        <f>+N176+O176+P176+R176+S176</f>
        <v>10</v>
      </c>
      <c r="U176" s="17" t="s">
        <v>68</v>
      </c>
    </row>
    <row r="177" spans="1:21" x14ac:dyDescent="0.25">
      <c r="A177" s="18" t="s">
        <v>395</v>
      </c>
      <c r="B177" s="18" t="s">
        <v>374</v>
      </c>
      <c r="C177" s="18" t="s">
        <v>92</v>
      </c>
      <c r="D177" s="18"/>
      <c r="E177" s="19" t="s">
        <v>94</v>
      </c>
      <c r="F177" s="18" t="s">
        <v>412</v>
      </c>
      <c r="G177" s="18" t="s">
        <v>57</v>
      </c>
      <c r="H177" s="9">
        <v>1558</v>
      </c>
      <c r="I177" s="56">
        <f t="shared" si="8"/>
        <v>11.684999999999999</v>
      </c>
      <c r="J177" s="21">
        <f t="shared" si="11"/>
        <v>1569.6849999999999</v>
      </c>
      <c r="K177" s="53">
        <f t="shared" si="9"/>
        <v>1651.48</v>
      </c>
      <c r="L177" s="26">
        <f t="shared" si="10"/>
        <v>61.795000000000073</v>
      </c>
      <c r="M177" s="20">
        <v>20</v>
      </c>
      <c r="N177" s="12">
        <v>1</v>
      </c>
      <c r="O177" s="12">
        <v>1</v>
      </c>
      <c r="P177" s="12">
        <v>1</v>
      </c>
      <c r="Q177" s="12"/>
      <c r="R177" s="20">
        <v>0</v>
      </c>
      <c r="S177" s="12">
        <v>7</v>
      </c>
      <c r="T177" s="16">
        <f>+N177+O177+P177+R177+S177</f>
        <v>10</v>
      </c>
      <c r="U177" s="17" t="s">
        <v>68</v>
      </c>
    </row>
    <row r="178" spans="1:21" x14ac:dyDescent="0.25">
      <c r="A178" s="7" t="s">
        <v>395</v>
      </c>
      <c r="B178" s="7" t="s">
        <v>374</v>
      </c>
      <c r="C178" s="7" t="s">
        <v>88</v>
      </c>
      <c r="D178" s="7"/>
      <c r="E178" s="8" t="s">
        <v>94</v>
      </c>
      <c r="F178" s="7" t="s">
        <v>413</v>
      </c>
      <c r="G178" s="7" t="s">
        <v>57</v>
      </c>
      <c r="H178" s="9">
        <v>1558</v>
      </c>
      <c r="I178" s="56">
        <f t="shared" si="8"/>
        <v>11.684999999999999</v>
      </c>
      <c r="J178" s="11">
        <f t="shared" si="11"/>
        <v>1569.6849999999999</v>
      </c>
      <c r="K178" s="53">
        <f t="shared" si="9"/>
        <v>1651.48</v>
      </c>
      <c r="L178" s="27">
        <f t="shared" si="10"/>
        <v>61.795000000000073</v>
      </c>
      <c r="M178" s="10">
        <v>20</v>
      </c>
      <c r="N178" s="12">
        <v>0</v>
      </c>
      <c r="O178" s="12">
        <v>1</v>
      </c>
      <c r="P178" s="12">
        <v>0</v>
      </c>
      <c r="Q178" s="12"/>
      <c r="R178" s="20">
        <v>0</v>
      </c>
      <c r="S178" s="12">
        <v>6</v>
      </c>
      <c r="T178" s="16">
        <f>+N178+O178+P178+R178+S178</f>
        <v>7</v>
      </c>
      <c r="U178" s="17" t="s">
        <v>68</v>
      </c>
    </row>
    <row r="179" spans="1:21" x14ac:dyDescent="0.25">
      <c r="A179" s="18" t="s">
        <v>395</v>
      </c>
      <c r="B179" s="18" t="s">
        <v>87</v>
      </c>
      <c r="C179" s="18" t="s">
        <v>92</v>
      </c>
      <c r="D179" s="18" t="s">
        <v>414</v>
      </c>
      <c r="E179" s="19" t="s">
        <v>186</v>
      </c>
      <c r="F179" s="18" t="s">
        <v>415</v>
      </c>
      <c r="G179" s="18" t="s">
        <v>166</v>
      </c>
      <c r="H179" s="9">
        <v>2515</v>
      </c>
      <c r="I179" s="56">
        <f t="shared" si="8"/>
        <v>18.862500000000001</v>
      </c>
      <c r="J179" s="21">
        <f t="shared" si="11"/>
        <v>2533.8625000000002</v>
      </c>
      <c r="K179" s="53">
        <f t="shared" si="9"/>
        <v>2665.9</v>
      </c>
      <c r="L179" s="22">
        <f t="shared" si="10"/>
        <v>102.03749999999991</v>
      </c>
      <c r="M179" s="16">
        <v>30</v>
      </c>
      <c r="N179" s="15">
        <v>0</v>
      </c>
      <c r="O179" s="15">
        <v>0</v>
      </c>
      <c r="P179" s="15">
        <v>1</v>
      </c>
      <c r="Q179" s="15"/>
      <c r="R179" s="16">
        <v>0</v>
      </c>
      <c r="S179" s="15">
        <v>1</v>
      </c>
      <c r="T179" s="16">
        <f>+N179+O179+P179+R179+S179</f>
        <v>2</v>
      </c>
      <c r="U179" s="17" t="s">
        <v>68</v>
      </c>
    </row>
    <row r="180" spans="1:21" x14ac:dyDescent="0.25">
      <c r="A180" s="7" t="s">
        <v>395</v>
      </c>
      <c r="B180" s="7" t="s">
        <v>87</v>
      </c>
      <c r="C180" s="7" t="s">
        <v>92</v>
      </c>
      <c r="D180" s="7" t="s">
        <v>416</v>
      </c>
      <c r="E180" s="8" t="s">
        <v>186</v>
      </c>
      <c r="F180" s="7" t="s">
        <v>417</v>
      </c>
      <c r="G180" s="7" t="s">
        <v>39</v>
      </c>
      <c r="H180" s="9">
        <v>2115</v>
      </c>
      <c r="I180" s="56">
        <f t="shared" si="8"/>
        <v>15.862499999999999</v>
      </c>
      <c r="J180" s="11">
        <f t="shared" si="11"/>
        <v>2130.8625000000002</v>
      </c>
      <c r="K180" s="53">
        <f t="shared" si="9"/>
        <v>2241.9</v>
      </c>
      <c r="L180" s="13">
        <f t="shared" si="10"/>
        <v>81.037499999999909</v>
      </c>
      <c r="M180" s="14">
        <v>30</v>
      </c>
      <c r="N180" s="15">
        <v>0</v>
      </c>
      <c r="O180" s="15">
        <v>0</v>
      </c>
      <c r="P180" s="15">
        <v>0</v>
      </c>
      <c r="Q180" s="15"/>
      <c r="R180" s="16">
        <v>0</v>
      </c>
      <c r="S180" s="15">
        <v>6</v>
      </c>
      <c r="T180" s="16">
        <f>+N180+O180+P180+R180+S180</f>
        <v>6</v>
      </c>
      <c r="U180" s="17" t="s">
        <v>68</v>
      </c>
    </row>
    <row r="181" spans="1:21" x14ac:dyDescent="0.25">
      <c r="A181" s="18" t="s">
        <v>395</v>
      </c>
      <c r="B181" s="18" t="s">
        <v>87</v>
      </c>
      <c r="C181" s="18" t="s">
        <v>92</v>
      </c>
      <c r="D181" s="18" t="s">
        <v>418</v>
      </c>
      <c r="E181" s="19" t="s">
        <v>186</v>
      </c>
      <c r="F181" s="18" t="s">
        <v>419</v>
      </c>
      <c r="G181" s="18" t="s">
        <v>166</v>
      </c>
      <c r="H181" s="9">
        <v>2620</v>
      </c>
      <c r="I181" s="56">
        <f t="shared" si="8"/>
        <v>19.649999999999999</v>
      </c>
      <c r="J181" s="21">
        <f t="shared" si="11"/>
        <v>2639.65</v>
      </c>
      <c r="K181" s="53">
        <f t="shared" si="9"/>
        <v>2777.2</v>
      </c>
      <c r="L181" s="22">
        <f t="shared" si="10"/>
        <v>107.54999999999973</v>
      </c>
      <c r="M181" s="16">
        <v>30</v>
      </c>
      <c r="N181" s="15">
        <v>0</v>
      </c>
      <c r="O181" s="15">
        <v>1</v>
      </c>
      <c r="P181" s="15">
        <v>0</v>
      </c>
      <c r="Q181" s="15"/>
      <c r="R181" s="16">
        <v>0</v>
      </c>
      <c r="S181" s="15">
        <v>0</v>
      </c>
      <c r="T181" s="16">
        <f>+N181+O181+P181+R181+S181</f>
        <v>1</v>
      </c>
      <c r="U181" s="17" t="s">
        <v>68</v>
      </c>
    </row>
    <row r="182" spans="1:21" x14ac:dyDescent="0.25">
      <c r="A182" s="18" t="s">
        <v>395</v>
      </c>
      <c r="B182" s="18" t="s">
        <v>87</v>
      </c>
      <c r="C182" s="18" t="s">
        <v>92</v>
      </c>
      <c r="D182" s="18" t="s">
        <v>420</v>
      </c>
      <c r="E182" s="19" t="s">
        <v>97</v>
      </c>
      <c r="F182" s="18" t="s">
        <v>421</v>
      </c>
      <c r="G182" s="18" t="s">
        <v>57</v>
      </c>
      <c r="H182" s="9">
        <v>3540</v>
      </c>
      <c r="I182" s="56">
        <f t="shared" si="8"/>
        <v>26.55</v>
      </c>
      <c r="J182" s="21">
        <f t="shared" si="11"/>
        <v>3566.55</v>
      </c>
      <c r="K182" s="53">
        <f t="shared" si="9"/>
        <v>3752.4</v>
      </c>
      <c r="L182" s="22">
        <f t="shared" si="10"/>
        <v>155.84999999999991</v>
      </c>
      <c r="M182" s="16">
        <v>30</v>
      </c>
      <c r="N182" s="15">
        <v>0</v>
      </c>
      <c r="O182" s="15">
        <v>1</v>
      </c>
      <c r="P182" s="15">
        <v>1</v>
      </c>
      <c r="Q182" s="15"/>
      <c r="R182" s="16">
        <v>0</v>
      </c>
      <c r="S182" s="15">
        <v>1</v>
      </c>
      <c r="T182" s="16">
        <f>+N182+O182+P182+R182+S182</f>
        <v>3</v>
      </c>
      <c r="U182" s="17" t="s">
        <v>68</v>
      </c>
    </row>
    <row r="183" spans="1:21" x14ac:dyDescent="0.25">
      <c r="A183" s="18" t="s">
        <v>395</v>
      </c>
      <c r="B183" s="18" t="s">
        <v>87</v>
      </c>
      <c r="C183" s="18" t="s">
        <v>92</v>
      </c>
      <c r="D183" s="18" t="s">
        <v>422</v>
      </c>
      <c r="E183" s="19" t="s">
        <v>423</v>
      </c>
      <c r="F183" s="18" t="s">
        <v>424</v>
      </c>
      <c r="G183" s="18" t="s">
        <v>57</v>
      </c>
      <c r="H183" s="9">
        <v>3824</v>
      </c>
      <c r="I183" s="56">
        <f t="shared" si="8"/>
        <v>28.68</v>
      </c>
      <c r="J183" s="21">
        <f t="shared" si="11"/>
        <v>3852.68</v>
      </c>
      <c r="K183" s="53">
        <f t="shared" si="9"/>
        <v>4053.44</v>
      </c>
      <c r="L183" s="22">
        <f t="shared" si="10"/>
        <v>160.76000000000022</v>
      </c>
      <c r="M183" s="16">
        <v>40</v>
      </c>
      <c r="N183" s="15">
        <v>0</v>
      </c>
      <c r="O183" s="15">
        <v>1</v>
      </c>
      <c r="P183" s="15">
        <v>0</v>
      </c>
      <c r="Q183" s="15"/>
      <c r="R183" s="16">
        <v>0</v>
      </c>
      <c r="S183" s="15">
        <v>1</v>
      </c>
      <c r="T183" s="16">
        <f>+N183+O183+P183+R183+S183</f>
        <v>2</v>
      </c>
      <c r="U183" s="17" t="s">
        <v>68</v>
      </c>
    </row>
    <row r="184" spans="1:21" x14ac:dyDescent="0.25">
      <c r="A184" s="18" t="s">
        <v>395</v>
      </c>
      <c r="B184" s="18" t="s">
        <v>87</v>
      </c>
      <c r="C184" s="18" t="s">
        <v>92</v>
      </c>
      <c r="D184" s="18" t="s">
        <v>425</v>
      </c>
      <c r="E184" s="19" t="s">
        <v>186</v>
      </c>
      <c r="F184" s="18" t="s">
        <v>426</v>
      </c>
      <c r="G184" s="18" t="s">
        <v>57</v>
      </c>
      <c r="H184" s="9">
        <v>3682</v>
      </c>
      <c r="I184" s="56">
        <f t="shared" si="8"/>
        <v>27.614999999999998</v>
      </c>
      <c r="J184" s="21">
        <f t="shared" si="11"/>
        <v>3709.6149999999998</v>
      </c>
      <c r="K184" s="53">
        <f t="shared" si="9"/>
        <v>3902.92</v>
      </c>
      <c r="L184" s="22">
        <f t="shared" si="10"/>
        <v>153.30500000000029</v>
      </c>
      <c r="M184" s="16">
        <v>40</v>
      </c>
      <c r="N184" s="15">
        <v>1</v>
      </c>
      <c r="O184" s="15">
        <v>0</v>
      </c>
      <c r="P184" s="15">
        <v>1</v>
      </c>
      <c r="Q184" s="15"/>
      <c r="R184" s="16">
        <v>0</v>
      </c>
      <c r="S184" s="15">
        <v>2</v>
      </c>
      <c r="T184" s="16">
        <f>+N184+O184+P184+R184+S184</f>
        <v>4</v>
      </c>
      <c r="U184" s="17" t="s">
        <v>68</v>
      </c>
    </row>
    <row r="185" spans="1:21" x14ac:dyDescent="0.25">
      <c r="A185" s="7" t="s">
        <v>395</v>
      </c>
      <c r="B185" s="7" t="s">
        <v>87</v>
      </c>
      <c r="C185" s="7" t="s">
        <v>92</v>
      </c>
      <c r="D185" s="7" t="s">
        <v>427</v>
      </c>
      <c r="E185" s="8" t="s">
        <v>97</v>
      </c>
      <c r="F185" s="7" t="s">
        <v>428</v>
      </c>
      <c r="G185" s="7" t="s">
        <v>57</v>
      </c>
      <c r="H185" s="9">
        <v>4920</v>
      </c>
      <c r="I185" s="56">
        <f t="shared" si="8"/>
        <v>36.9</v>
      </c>
      <c r="J185" s="11">
        <f t="shared" si="11"/>
        <v>4956.8999999999996</v>
      </c>
      <c r="K185" s="53">
        <f t="shared" si="9"/>
        <v>5215.2</v>
      </c>
      <c r="L185" s="13">
        <f t="shared" si="10"/>
        <v>208.30000000000018</v>
      </c>
      <c r="M185" s="14">
        <v>50</v>
      </c>
      <c r="N185" s="15">
        <v>0</v>
      </c>
      <c r="O185" s="15">
        <v>1</v>
      </c>
      <c r="P185" s="15">
        <v>1</v>
      </c>
      <c r="Q185" s="15"/>
      <c r="R185" s="16">
        <v>0</v>
      </c>
      <c r="S185" s="15">
        <v>3</v>
      </c>
      <c r="T185" s="16">
        <f>+N185+O185+P185+R185+S185</f>
        <v>5</v>
      </c>
      <c r="U185" s="17" t="s">
        <v>68</v>
      </c>
    </row>
    <row r="186" spans="1:21" x14ac:dyDescent="0.25">
      <c r="A186" s="7" t="s">
        <v>395</v>
      </c>
      <c r="B186" s="7" t="s">
        <v>87</v>
      </c>
      <c r="C186" s="7" t="s">
        <v>92</v>
      </c>
      <c r="D186" s="7" t="s">
        <v>429</v>
      </c>
      <c r="E186" s="8" t="s">
        <v>97</v>
      </c>
      <c r="F186" s="7" t="s">
        <v>430</v>
      </c>
      <c r="G186" s="7" t="s">
        <v>57</v>
      </c>
      <c r="H186" s="9">
        <v>5310</v>
      </c>
      <c r="I186" s="56">
        <f t="shared" si="8"/>
        <v>39.824999999999996</v>
      </c>
      <c r="J186" s="11">
        <f t="shared" si="11"/>
        <v>5349.8249999999998</v>
      </c>
      <c r="K186" s="53">
        <f t="shared" si="9"/>
        <v>5628.6</v>
      </c>
      <c r="L186" s="13">
        <f t="shared" si="10"/>
        <v>228.77500000000055</v>
      </c>
      <c r="M186" s="14">
        <v>50</v>
      </c>
      <c r="N186" s="15">
        <v>0</v>
      </c>
      <c r="O186" s="15">
        <v>0</v>
      </c>
      <c r="P186" s="15">
        <v>1</v>
      </c>
      <c r="Q186" s="15"/>
      <c r="R186" s="16">
        <v>0</v>
      </c>
      <c r="S186" s="15">
        <v>1</v>
      </c>
      <c r="T186" s="16">
        <f>+N186+O186+P186+R186+S186</f>
        <v>2</v>
      </c>
      <c r="U186" s="17" t="s">
        <v>68</v>
      </c>
    </row>
    <row r="187" spans="1:21" x14ac:dyDescent="0.25">
      <c r="A187" s="7" t="s">
        <v>395</v>
      </c>
      <c r="B187" s="7" t="s">
        <v>87</v>
      </c>
      <c r="C187" s="7" t="s">
        <v>92</v>
      </c>
      <c r="D187" s="7" t="s">
        <v>431</v>
      </c>
      <c r="E187" s="8" t="s">
        <v>97</v>
      </c>
      <c r="F187" s="7" t="s">
        <v>432</v>
      </c>
      <c r="G187" s="7" t="s">
        <v>57</v>
      </c>
      <c r="H187" s="9">
        <v>6160</v>
      </c>
      <c r="I187" s="56">
        <f t="shared" si="8"/>
        <v>46.199999999999996</v>
      </c>
      <c r="J187" s="11">
        <f t="shared" si="11"/>
        <v>6206.2</v>
      </c>
      <c r="K187" s="53">
        <f t="shared" si="9"/>
        <v>6529.6</v>
      </c>
      <c r="L187" s="13">
        <f t="shared" si="10"/>
        <v>273.40000000000055</v>
      </c>
      <c r="M187" s="14">
        <v>50</v>
      </c>
      <c r="N187" s="15">
        <v>0</v>
      </c>
      <c r="O187" s="15">
        <v>1</v>
      </c>
      <c r="P187" s="15">
        <v>0</v>
      </c>
      <c r="Q187" s="15"/>
      <c r="R187" s="16">
        <v>0</v>
      </c>
      <c r="S187" s="15">
        <v>0</v>
      </c>
      <c r="T187" s="16">
        <f>+N187+O187+P187+R187+S187</f>
        <v>1</v>
      </c>
      <c r="U187" s="17" t="s">
        <v>68</v>
      </c>
    </row>
    <row r="188" spans="1:21" x14ac:dyDescent="0.25">
      <c r="A188" s="7" t="s">
        <v>395</v>
      </c>
      <c r="B188" s="7" t="s">
        <v>87</v>
      </c>
      <c r="C188" s="7" t="s">
        <v>92</v>
      </c>
      <c r="D188" s="7" t="s">
        <v>433</v>
      </c>
      <c r="E188" s="8" t="s">
        <v>434</v>
      </c>
      <c r="F188" s="7" t="s">
        <v>435</v>
      </c>
      <c r="G188" s="7" t="s">
        <v>57</v>
      </c>
      <c r="H188" s="9">
        <v>6230</v>
      </c>
      <c r="I188" s="56">
        <f t="shared" si="8"/>
        <v>46.725000000000001</v>
      </c>
      <c r="J188" s="11">
        <f t="shared" si="11"/>
        <v>6276.7250000000004</v>
      </c>
      <c r="K188" s="53">
        <f t="shared" si="9"/>
        <v>6603.8</v>
      </c>
      <c r="L188" s="13">
        <f t="shared" si="10"/>
        <v>227.07499999999982</v>
      </c>
      <c r="M188" s="14">
        <v>100</v>
      </c>
      <c r="N188" s="15">
        <v>1</v>
      </c>
      <c r="O188" s="15">
        <v>0</v>
      </c>
      <c r="P188" s="15">
        <v>1</v>
      </c>
      <c r="Q188" s="15"/>
      <c r="R188" s="16">
        <v>0</v>
      </c>
      <c r="S188" s="15">
        <v>2</v>
      </c>
      <c r="T188" s="16">
        <f>+N188+O188+P188+R188+S188</f>
        <v>4</v>
      </c>
      <c r="U188" s="17" t="s">
        <v>68</v>
      </c>
    </row>
    <row r="189" spans="1:21" x14ac:dyDescent="0.25">
      <c r="A189" s="18" t="s">
        <v>395</v>
      </c>
      <c r="B189" s="18" t="s">
        <v>87</v>
      </c>
      <c r="C189" s="18" t="s">
        <v>88</v>
      </c>
      <c r="D189" s="18" t="s">
        <v>436</v>
      </c>
      <c r="E189" s="19" t="s">
        <v>97</v>
      </c>
      <c r="F189" s="18" t="s">
        <v>437</v>
      </c>
      <c r="G189" s="18" t="s">
        <v>57</v>
      </c>
      <c r="H189" s="9">
        <v>1912</v>
      </c>
      <c r="I189" s="56">
        <f t="shared" si="8"/>
        <v>14.34</v>
      </c>
      <c r="J189" s="21">
        <f t="shared" si="11"/>
        <v>1926.34</v>
      </c>
      <c r="K189" s="53">
        <f t="shared" si="9"/>
        <v>2026.72</v>
      </c>
      <c r="L189" s="22">
        <f t="shared" si="10"/>
        <v>70.380000000000109</v>
      </c>
      <c r="M189" s="16">
        <v>30</v>
      </c>
      <c r="N189" s="15">
        <v>1</v>
      </c>
      <c r="O189" s="15">
        <v>0</v>
      </c>
      <c r="P189" s="15">
        <v>0</v>
      </c>
      <c r="Q189" s="15"/>
      <c r="R189" s="16">
        <v>0</v>
      </c>
      <c r="S189" s="15">
        <v>4</v>
      </c>
      <c r="T189" s="16">
        <f>+N189+O189+P189+R189+S189</f>
        <v>5</v>
      </c>
      <c r="U189" s="17" t="s">
        <v>68</v>
      </c>
    </row>
    <row r="190" spans="1:21" x14ac:dyDescent="0.25">
      <c r="A190" s="7" t="s">
        <v>395</v>
      </c>
      <c r="B190" s="7" t="s">
        <v>87</v>
      </c>
      <c r="C190" s="7" t="s">
        <v>88</v>
      </c>
      <c r="D190" s="7" t="s">
        <v>436</v>
      </c>
      <c r="E190" s="8" t="s">
        <v>97</v>
      </c>
      <c r="F190" s="7" t="s">
        <v>438</v>
      </c>
      <c r="G190" s="7" t="s">
        <v>57</v>
      </c>
      <c r="H190" s="9">
        <v>3292</v>
      </c>
      <c r="I190" s="56">
        <f t="shared" si="8"/>
        <v>24.689999999999998</v>
      </c>
      <c r="J190" s="11">
        <f t="shared" si="11"/>
        <v>3316.69</v>
      </c>
      <c r="K190" s="53">
        <f t="shared" si="9"/>
        <v>3489.52</v>
      </c>
      <c r="L190" s="13">
        <f t="shared" si="10"/>
        <v>142.82999999999993</v>
      </c>
      <c r="M190" s="14">
        <v>30</v>
      </c>
      <c r="N190" s="15">
        <v>0</v>
      </c>
      <c r="O190" s="15">
        <v>1</v>
      </c>
      <c r="P190" s="15">
        <v>0</v>
      </c>
      <c r="Q190" s="15"/>
      <c r="R190" s="16">
        <v>0</v>
      </c>
      <c r="S190" s="15">
        <v>0</v>
      </c>
      <c r="T190" s="16">
        <f>+N190+O190+P190+R190+S190</f>
        <v>1</v>
      </c>
      <c r="U190" s="17" t="s">
        <v>68</v>
      </c>
    </row>
    <row r="191" spans="1:21" x14ac:dyDescent="0.25">
      <c r="A191" s="18" t="s">
        <v>395</v>
      </c>
      <c r="B191" s="18" t="s">
        <v>87</v>
      </c>
      <c r="C191" s="18" t="s">
        <v>92</v>
      </c>
      <c r="D191" s="18" t="s">
        <v>439</v>
      </c>
      <c r="E191" s="19" t="s">
        <v>97</v>
      </c>
      <c r="F191" s="18" t="s">
        <v>440</v>
      </c>
      <c r="G191" s="18" t="s">
        <v>57</v>
      </c>
      <c r="H191" s="9">
        <v>3330</v>
      </c>
      <c r="I191" s="56">
        <f t="shared" si="8"/>
        <v>24.974999999999998</v>
      </c>
      <c r="J191" s="21">
        <f t="shared" si="11"/>
        <v>3354.9749999999999</v>
      </c>
      <c r="K191" s="53">
        <f t="shared" si="9"/>
        <v>3529.8</v>
      </c>
      <c r="L191" s="22">
        <f t="shared" si="10"/>
        <v>144.82500000000027</v>
      </c>
      <c r="M191" s="16">
        <v>30</v>
      </c>
      <c r="N191" s="15">
        <v>1</v>
      </c>
      <c r="O191" s="15">
        <v>1</v>
      </c>
      <c r="P191" s="15">
        <v>0</v>
      </c>
      <c r="Q191" s="15"/>
      <c r="R191" s="16">
        <v>0</v>
      </c>
      <c r="S191" s="15">
        <v>0</v>
      </c>
      <c r="T191" s="16">
        <f>+N191+O191+P191+R191+S191</f>
        <v>2</v>
      </c>
      <c r="U191" s="17" t="s">
        <v>68</v>
      </c>
    </row>
    <row r="192" spans="1:21" x14ac:dyDescent="0.25">
      <c r="A192" s="18" t="s">
        <v>395</v>
      </c>
      <c r="B192" s="18" t="s">
        <v>63</v>
      </c>
      <c r="C192" s="18" t="s">
        <v>64</v>
      </c>
      <c r="D192" s="18" t="s">
        <v>441</v>
      </c>
      <c r="E192" s="19" t="s">
        <v>442</v>
      </c>
      <c r="F192" s="18" t="s">
        <v>443</v>
      </c>
      <c r="G192" s="18" t="s">
        <v>39</v>
      </c>
      <c r="H192" s="9">
        <v>1558</v>
      </c>
      <c r="I192" s="56">
        <f t="shared" si="8"/>
        <v>11.684999999999999</v>
      </c>
      <c r="J192" s="21">
        <f t="shared" si="11"/>
        <v>1569.6849999999999</v>
      </c>
      <c r="K192" s="53">
        <f t="shared" si="9"/>
        <v>1651.48</v>
      </c>
      <c r="L192" s="22">
        <f t="shared" si="10"/>
        <v>51.795000000000073</v>
      </c>
      <c r="M192" s="16">
        <v>30</v>
      </c>
      <c r="N192" s="15">
        <v>1</v>
      </c>
      <c r="O192" s="15">
        <v>0</v>
      </c>
      <c r="P192" s="15">
        <v>1</v>
      </c>
      <c r="Q192" s="15"/>
      <c r="R192" s="16">
        <v>0</v>
      </c>
      <c r="S192" s="15">
        <v>7</v>
      </c>
      <c r="T192" s="16">
        <f>+N192+O192+P192+R192+S192</f>
        <v>9</v>
      </c>
      <c r="U192" s="17" t="s">
        <v>68</v>
      </c>
    </row>
    <row r="193" spans="1:21" x14ac:dyDescent="0.25">
      <c r="A193" s="7" t="s">
        <v>395</v>
      </c>
      <c r="B193" s="7" t="s">
        <v>63</v>
      </c>
      <c r="C193" s="7" t="s">
        <v>64</v>
      </c>
      <c r="D193" s="7" t="s">
        <v>444</v>
      </c>
      <c r="E193" s="8" t="s">
        <v>442</v>
      </c>
      <c r="F193" s="7" t="s">
        <v>445</v>
      </c>
      <c r="G193" s="7" t="s">
        <v>39</v>
      </c>
      <c r="H193" s="9">
        <v>2336</v>
      </c>
      <c r="I193" s="56">
        <f t="shared" si="8"/>
        <v>17.52</v>
      </c>
      <c r="J193" s="11">
        <f t="shared" si="11"/>
        <v>2353.52</v>
      </c>
      <c r="K193" s="53">
        <f t="shared" si="9"/>
        <v>2476.16</v>
      </c>
      <c r="L193" s="13">
        <f t="shared" si="10"/>
        <v>92.639999999999873</v>
      </c>
      <c r="M193" s="14">
        <v>30</v>
      </c>
      <c r="N193" s="15">
        <v>1</v>
      </c>
      <c r="O193" s="15">
        <v>0</v>
      </c>
      <c r="P193" s="15">
        <v>0</v>
      </c>
      <c r="Q193" s="15"/>
      <c r="R193" s="16">
        <v>0</v>
      </c>
      <c r="S193" s="15">
        <v>0</v>
      </c>
      <c r="T193" s="16">
        <f>+N193+O193+P193+R193+S193</f>
        <v>1</v>
      </c>
      <c r="U193" s="17" t="s">
        <v>68</v>
      </c>
    </row>
    <row r="194" spans="1:21" x14ac:dyDescent="0.25">
      <c r="A194" s="18" t="s">
        <v>395</v>
      </c>
      <c r="B194" s="18" t="s">
        <v>63</v>
      </c>
      <c r="C194" s="18" t="s">
        <v>64</v>
      </c>
      <c r="D194" s="18" t="s">
        <v>446</v>
      </c>
      <c r="E194" s="19" t="s">
        <v>447</v>
      </c>
      <c r="F194" s="18" t="s">
        <v>448</v>
      </c>
      <c r="G194" s="18" t="s">
        <v>39</v>
      </c>
      <c r="H194" s="9">
        <v>5450</v>
      </c>
      <c r="I194" s="56">
        <f t="shared" si="8"/>
        <v>40.875</v>
      </c>
      <c r="J194" s="21">
        <f t="shared" si="11"/>
        <v>5490.875</v>
      </c>
      <c r="K194" s="53">
        <f t="shared" si="9"/>
        <v>5777</v>
      </c>
      <c r="L194" s="22">
        <f t="shared" si="10"/>
        <v>236.125</v>
      </c>
      <c r="M194" s="16">
        <v>50</v>
      </c>
      <c r="N194" s="15">
        <v>1</v>
      </c>
      <c r="O194" s="15">
        <v>0</v>
      </c>
      <c r="P194" s="15">
        <v>0</v>
      </c>
      <c r="Q194" s="15"/>
      <c r="R194" s="16">
        <v>0</v>
      </c>
      <c r="S194" s="15">
        <v>2</v>
      </c>
      <c r="T194" s="16">
        <f>+N194+O194+P194+R194+S194</f>
        <v>3</v>
      </c>
      <c r="U194" s="17" t="s">
        <v>68</v>
      </c>
    </row>
    <row r="195" spans="1:21" x14ac:dyDescent="0.25">
      <c r="A195" s="18" t="s">
        <v>395</v>
      </c>
      <c r="B195" s="18" t="s">
        <v>63</v>
      </c>
      <c r="C195" s="18" t="s">
        <v>64</v>
      </c>
      <c r="D195" s="18" t="s">
        <v>449</v>
      </c>
      <c r="E195" s="19" t="s">
        <v>447</v>
      </c>
      <c r="F195" s="18" t="s">
        <v>450</v>
      </c>
      <c r="G195" s="18" t="s">
        <v>39</v>
      </c>
      <c r="H195" s="9">
        <v>7800</v>
      </c>
      <c r="I195" s="56">
        <f t="shared" ref="I195:I258" si="12">+(H195*0.75%)</f>
        <v>58.5</v>
      </c>
      <c r="J195" s="21">
        <f t="shared" si="11"/>
        <v>7858.5</v>
      </c>
      <c r="K195" s="53">
        <f t="shared" ref="K195:K258" si="13">+((H195*6%)+H195)</f>
        <v>8268</v>
      </c>
      <c r="L195" s="22">
        <f t="shared" si="10"/>
        <v>309.5</v>
      </c>
      <c r="M195" s="16">
        <v>100</v>
      </c>
      <c r="N195" s="15">
        <v>1</v>
      </c>
      <c r="O195" s="15">
        <v>0</v>
      </c>
      <c r="P195" s="15">
        <v>0</v>
      </c>
      <c r="Q195" s="15"/>
      <c r="R195" s="16">
        <v>0</v>
      </c>
      <c r="S195" s="15">
        <v>3</v>
      </c>
      <c r="T195" s="16">
        <f>+N195+O195+P195+R195+S195</f>
        <v>4</v>
      </c>
      <c r="U195" s="17" t="s">
        <v>68</v>
      </c>
    </row>
    <row r="196" spans="1:21" x14ac:dyDescent="0.25">
      <c r="A196" s="18" t="s">
        <v>395</v>
      </c>
      <c r="B196" s="18" t="s">
        <v>268</v>
      </c>
      <c r="C196" s="18" t="s">
        <v>269</v>
      </c>
      <c r="D196" s="18" t="s">
        <v>451</v>
      </c>
      <c r="E196" s="19" t="s">
        <v>271</v>
      </c>
      <c r="F196" s="18" t="s">
        <v>452</v>
      </c>
      <c r="G196" s="18" t="s">
        <v>39</v>
      </c>
      <c r="H196" s="9">
        <v>3540</v>
      </c>
      <c r="I196" s="56">
        <f t="shared" si="12"/>
        <v>26.55</v>
      </c>
      <c r="J196" s="21">
        <f t="shared" si="11"/>
        <v>3566.55</v>
      </c>
      <c r="K196" s="53">
        <f t="shared" si="13"/>
        <v>3752.4</v>
      </c>
      <c r="L196" s="22">
        <f t="shared" si="10"/>
        <v>135.84999999999991</v>
      </c>
      <c r="M196" s="16">
        <v>50</v>
      </c>
      <c r="N196" s="15">
        <v>1</v>
      </c>
      <c r="O196" s="15">
        <v>0</v>
      </c>
      <c r="P196" s="15">
        <v>0</v>
      </c>
      <c r="Q196" s="15"/>
      <c r="R196" s="16">
        <v>0</v>
      </c>
      <c r="S196" s="15">
        <v>0</v>
      </c>
      <c r="T196" s="16">
        <f>+N196+O196+P196+R196+S196</f>
        <v>1</v>
      </c>
      <c r="U196" s="17" t="s">
        <v>68</v>
      </c>
    </row>
    <row r="197" spans="1:21" x14ac:dyDescent="0.25">
      <c r="A197" s="7" t="s">
        <v>395</v>
      </c>
      <c r="B197" s="7" t="s">
        <v>78</v>
      </c>
      <c r="C197" s="7" t="s">
        <v>355</v>
      </c>
      <c r="D197" s="7" t="s">
        <v>208</v>
      </c>
      <c r="E197" s="8" t="s">
        <v>85</v>
      </c>
      <c r="F197" s="7" t="s">
        <v>453</v>
      </c>
      <c r="G197" s="7" t="s">
        <v>454</v>
      </c>
      <c r="H197" s="9">
        <v>2090</v>
      </c>
      <c r="I197" s="56">
        <f t="shared" si="12"/>
        <v>15.674999999999999</v>
      </c>
      <c r="J197" s="11">
        <f t="shared" si="11"/>
        <v>2105.6750000000002</v>
      </c>
      <c r="K197" s="53">
        <f t="shared" si="13"/>
        <v>2215.4</v>
      </c>
      <c r="L197" s="13">
        <f t="shared" si="10"/>
        <v>89.724999999999909</v>
      </c>
      <c r="M197" s="14">
        <v>20</v>
      </c>
      <c r="N197" s="15">
        <v>1</v>
      </c>
      <c r="O197" s="15">
        <v>0</v>
      </c>
      <c r="P197" s="15">
        <v>0</v>
      </c>
      <c r="Q197" s="15"/>
      <c r="R197" s="16">
        <v>0</v>
      </c>
      <c r="S197" s="15">
        <v>0</v>
      </c>
      <c r="T197" s="16">
        <f>+N197+O197+P197+R197+S197</f>
        <v>1</v>
      </c>
      <c r="U197" s="17" t="s">
        <v>68</v>
      </c>
    </row>
    <row r="198" spans="1:21" x14ac:dyDescent="0.25">
      <c r="A198" s="7" t="s">
        <v>395</v>
      </c>
      <c r="B198" s="7" t="s">
        <v>78</v>
      </c>
      <c r="C198" s="7" t="s">
        <v>355</v>
      </c>
      <c r="D198" s="7" t="s">
        <v>289</v>
      </c>
      <c r="E198" s="8" t="s">
        <v>85</v>
      </c>
      <c r="F198" s="7" t="s">
        <v>455</v>
      </c>
      <c r="G198" s="7" t="s">
        <v>454</v>
      </c>
      <c r="H198" s="9">
        <v>2340</v>
      </c>
      <c r="I198" s="56">
        <f t="shared" si="12"/>
        <v>17.55</v>
      </c>
      <c r="J198" s="11">
        <f t="shared" si="11"/>
        <v>2357.5500000000002</v>
      </c>
      <c r="K198" s="53">
        <f t="shared" si="13"/>
        <v>2480.4</v>
      </c>
      <c r="L198" s="13">
        <f t="shared" si="10"/>
        <v>102.84999999999991</v>
      </c>
      <c r="M198" s="14">
        <v>20</v>
      </c>
      <c r="N198" s="15">
        <v>1</v>
      </c>
      <c r="O198" s="15">
        <v>0</v>
      </c>
      <c r="P198" s="15">
        <v>0</v>
      </c>
      <c r="Q198" s="15"/>
      <c r="R198" s="16">
        <v>0</v>
      </c>
      <c r="S198" s="15">
        <v>0</v>
      </c>
      <c r="T198" s="16">
        <f>+N198+O198+P198+R198+S198</f>
        <v>1</v>
      </c>
      <c r="U198" s="17" t="s">
        <v>68</v>
      </c>
    </row>
    <row r="199" spans="1:21" x14ac:dyDescent="0.25">
      <c r="A199" s="18" t="s">
        <v>395</v>
      </c>
      <c r="B199" s="18" t="s">
        <v>78</v>
      </c>
      <c r="C199" s="18" t="s">
        <v>79</v>
      </c>
      <c r="D199" s="18" t="s">
        <v>289</v>
      </c>
      <c r="E199" s="19" t="s">
        <v>81</v>
      </c>
      <c r="F199" s="18" t="s">
        <v>456</v>
      </c>
      <c r="G199" s="18" t="s">
        <v>39</v>
      </c>
      <c r="H199" s="9">
        <v>6267</v>
      </c>
      <c r="I199" s="56">
        <f t="shared" si="12"/>
        <v>47.002499999999998</v>
      </c>
      <c r="J199" s="21">
        <f t="shared" si="11"/>
        <v>6314.0024999999996</v>
      </c>
      <c r="K199" s="53">
        <f t="shared" si="13"/>
        <v>6643.02</v>
      </c>
      <c r="L199" s="22">
        <f t="shared" si="10"/>
        <v>229.01750000000084</v>
      </c>
      <c r="M199" s="16">
        <v>100</v>
      </c>
      <c r="N199" s="15">
        <v>1</v>
      </c>
      <c r="O199" s="15">
        <v>0</v>
      </c>
      <c r="P199" s="15">
        <v>1</v>
      </c>
      <c r="Q199" s="15"/>
      <c r="R199" s="16">
        <v>0</v>
      </c>
      <c r="S199" s="15">
        <v>0</v>
      </c>
      <c r="T199" s="16">
        <f>+N199+O199+P199+R199+S199</f>
        <v>2</v>
      </c>
      <c r="U199" s="17" t="s">
        <v>68</v>
      </c>
    </row>
    <row r="200" spans="1:21" x14ac:dyDescent="0.25">
      <c r="A200" s="7" t="s">
        <v>395</v>
      </c>
      <c r="B200" s="7" t="s">
        <v>148</v>
      </c>
      <c r="C200" s="7" t="s">
        <v>355</v>
      </c>
      <c r="D200" s="7"/>
      <c r="E200" s="8" t="s">
        <v>457</v>
      </c>
      <c r="F200" s="7" t="s">
        <v>458</v>
      </c>
      <c r="G200" s="7"/>
      <c r="H200" s="9">
        <v>3964</v>
      </c>
      <c r="I200" s="56">
        <f t="shared" si="12"/>
        <v>29.73</v>
      </c>
      <c r="J200" s="11">
        <f t="shared" si="11"/>
        <v>3993.73</v>
      </c>
      <c r="K200" s="53">
        <f t="shared" si="13"/>
        <v>4201.84</v>
      </c>
      <c r="L200" s="13">
        <f t="shared" ref="L200:L266" si="14">+K200-J200-M200</f>
        <v>178.11000000000013</v>
      </c>
      <c r="M200" s="14">
        <v>30</v>
      </c>
      <c r="N200" s="15">
        <v>1</v>
      </c>
      <c r="O200" s="15">
        <v>0</v>
      </c>
      <c r="P200" s="15">
        <v>0</v>
      </c>
      <c r="Q200" s="15"/>
      <c r="R200" s="16">
        <v>0</v>
      </c>
      <c r="S200" s="15">
        <v>0</v>
      </c>
      <c r="T200" s="16">
        <f>+N200+O200+P200+R200+S200</f>
        <v>1</v>
      </c>
      <c r="U200" s="17" t="s">
        <v>68</v>
      </c>
    </row>
    <row r="201" spans="1:21" x14ac:dyDescent="0.25">
      <c r="A201" s="7" t="s">
        <v>395</v>
      </c>
      <c r="B201" s="7" t="s">
        <v>148</v>
      </c>
      <c r="C201" s="7" t="s">
        <v>355</v>
      </c>
      <c r="D201" s="7" t="s">
        <v>459</v>
      </c>
      <c r="E201" s="8" t="s">
        <v>457</v>
      </c>
      <c r="F201" s="7" t="s">
        <v>460</v>
      </c>
      <c r="G201" s="7" t="s">
        <v>24</v>
      </c>
      <c r="H201" s="9">
        <v>1850</v>
      </c>
      <c r="I201" s="56">
        <f t="shared" si="12"/>
        <v>13.875</v>
      </c>
      <c r="J201" s="11">
        <f t="shared" si="11"/>
        <v>1863.875</v>
      </c>
      <c r="K201" s="53">
        <f t="shared" si="13"/>
        <v>1961</v>
      </c>
      <c r="L201" s="13">
        <f t="shared" si="14"/>
        <v>77.125</v>
      </c>
      <c r="M201" s="14">
        <v>20</v>
      </c>
      <c r="N201" s="15">
        <v>1</v>
      </c>
      <c r="O201" s="15">
        <v>0</v>
      </c>
      <c r="P201" s="15">
        <v>0</v>
      </c>
      <c r="Q201" s="15"/>
      <c r="R201" s="16">
        <v>0</v>
      </c>
      <c r="S201" s="15">
        <v>0</v>
      </c>
      <c r="T201" s="16">
        <f>+N201+O201+P201+R201+S201</f>
        <v>1</v>
      </c>
      <c r="U201" s="17" t="s">
        <v>68</v>
      </c>
    </row>
    <row r="202" spans="1:21" x14ac:dyDescent="0.25">
      <c r="A202" s="18" t="s">
        <v>395</v>
      </c>
      <c r="B202" s="18" t="s">
        <v>148</v>
      </c>
      <c r="C202" s="18" t="s">
        <v>355</v>
      </c>
      <c r="D202" s="18"/>
      <c r="E202" s="19" t="s">
        <v>457</v>
      </c>
      <c r="F202" s="18" t="s">
        <v>461</v>
      </c>
      <c r="G202" s="18" t="s">
        <v>24</v>
      </c>
      <c r="H202" s="9">
        <v>6375</v>
      </c>
      <c r="I202" s="56">
        <f t="shared" si="12"/>
        <v>47.8125</v>
      </c>
      <c r="J202" s="21">
        <f t="shared" si="11"/>
        <v>6422.8125</v>
      </c>
      <c r="K202" s="53">
        <f t="shared" si="13"/>
        <v>6757.5</v>
      </c>
      <c r="L202" s="22">
        <f t="shared" si="14"/>
        <v>284.6875</v>
      </c>
      <c r="M202" s="16">
        <v>50</v>
      </c>
      <c r="N202" s="15">
        <v>1</v>
      </c>
      <c r="O202" s="15">
        <v>0</v>
      </c>
      <c r="P202" s="15">
        <v>0</v>
      </c>
      <c r="Q202" s="15"/>
      <c r="R202" s="16">
        <v>0</v>
      </c>
      <c r="S202" s="15">
        <v>0</v>
      </c>
      <c r="T202" s="16">
        <f>+N202+O202+P202+R202+S202</f>
        <v>1</v>
      </c>
      <c r="U202" s="17" t="s">
        <v>68</v>
      </c>
    </row>
    <row r="203" spans="1:21" x14ac:dyDescent="0.25">
      <c r="A203" s="18" t="s">
        <v>395</v>
      </c>
      <c r="B203" s="18" t="s">
        <v>148</v>
      </c>
      <c r="C203" s="18" t="s">
        <v>64</v>
      </c>
      <c r="D203" s="18" t="s">
        <v>462</v>
      </c>
      <c r="E203" s="19" t="s">
        <v>463</v>
      </c>
      <c r="F203" s="18" t="s">
        <v>464</v>
      </c>
      <c r="G203" s="18" t="s">
        <v>39</v>
      </c>
      <c r="H203" s="9">
        <v>5806</v>
      </c>
      <c r="I203" s="56">
        <f t="shared" si="12"/>
        <v>43.545000000000002</v>
      </c>
      <c r="J203" s="21">
        <f t="shared" si="11"/>
        <v>5849.5450000000001</v>
      </c>
      <c r="K203" s="53">
        <f t="shared" si="13"/>
        <v>6154.36</v>
      </c>
      <c r="L203" s="22">
        <f t="shared" si="14"/>
        <v>204.8149999999996</v>
      </c>
      <c r="M203" s="16">
        <v>100</v>
      </c>
      <c r="N203" s="15">
        <v>1</v>
      </c>
      <c r="O203" s="15">
        <v>0</v>
      </c>
      <c r="P203" s="15">
        <v>0</v>
      </c>
      <c r="Q203" s="15"/>
      <c r="R203" s="16">
        <v>0</v>
      </c>
      <c r="S203" s="15">
        <v>2</v>
      </c>
      <c r="T203" s="16">
        <f>+N203+O203+P203+R203+S203</f>
        <v>3</v>
      </c>
      <c r="U203" s="17" t="s">
        <v>68</v>
      </c>
    </row>
    <row r="204" spans="1:21" x14ac:dyDescent="0.25">
      <c r="A204" s="18" t="s">
        <v>465</v>
      </c>
      <c r="B204" s="18" t="s">
        <v>52</v>
      </c>
      <c r="C204" s="18" t="s">
        <v>53</v>
      </c>
      <c r="D204" s="18" t="s">
        <v>111</v>
      </c>
      <c r="E204" s="19" t="s">
        <v>466</v>
      </c>
      <c r="F204" s="18" t="s">
        <v>467</v>
      </c>
      <c r="G204" s="18" t="s">
        <v>39</v>
      </c>
      <c r="H204" s="9">
        <v>1050</v>
      </c>
      <c r="I204" s="56">
        <f t="shared" si="12"/>
        <v>7.875</v>
      </c>
      <c r="J204" s="21">
        <f t="shared" si="11"/>
        <v>1057.875</v>
      </c>
      <c r="K204" s="53">
        <v>1300</v>
      </c>
      <c r="L204" s="22">
        <f t="shared" si="14"/>
        <v>192.125</v>
      </c>
      <c r="M204" s="16">
        <v>50</v>
      </c>
      <c r="N204" s="15">
        <v>1</v>
      </c>
      <c r="O204" s="15">
        <v>0</v>
      </c>
      <c r="P204" s="15">
        <v>0</v>
      </c>
      <c r="Q204" s="15"/>
      <c r="R204" s="16">
        <v>0</v>
      </c>
      <c r="S204" s="15">
        <v>0</v>
      </c>
      <c r="T204" s="16">
        <f>+N204+O204+P204+R204+S204</f>
        <v>1</v>
      </c>
      <c r="U204" s="17" t="s">
        <v>468</v>
      </c>
    </row>
    <row r="205" spans="1:21" x14ac:dyDescent="0.25">
      <c r="A205" s="18" t="s">
        <v>469</v>
      </c>
      <c r="B205" s="18" t="s">
        <v>78</v>
      </c>
      <c r="C205" s="18" t="s">
        <v>83</v>
      </c>
      <c r="D205" s="18" t="s">
        <v>120</v>
      </c>
      <c r="E205" s="19" t="s">
        <v>85</v>
      </c>
      <c r="F205" s="18" t="s">
        <v>470</v>
      </c>
      <c r="G205" s="18" t="s">
        <v>39</v>
      </c>
      <c r="H205" s="9">
        <v>3900</v>
      </c>
      <c r="I205" s="56">
        <f t="shared" si="12"/>
        <v>29.25</v>
      </c>
      <c r="J205" s="21">
        <f t="shared" si="11"/>
        <v>3929.25</v>
      </c>
      <c r="K205" s="53">
        <f t="shared" si="13"/>
        <v>4134</v>
      </c>
      <c r="L205" s="22">
        <f t="shared" si="14"/>
        <v>184.75</v>
      </c>
      <c r="M205" s="16">
        <v>20</v>
      </c>
      <c r="N205" s="15">
        <v>1</v>
      </c>
      <c r="O205" s="15">
        <v>1</v>
      </c>
      <c r="P205" s="15">
        <v>0</v>
      </c>
      <c r="Q205" s="15"/>
      <c r="R205" s="16">
        <v>0</v>
      </c>
      <c r="S205" s="15">
        <v>2</v>
      </c>
      <c r="T205" s="16">
        <f>+N205+O205+P205+R205+S205</f>
        <v>4</v>
      </c>
      <c r="U205" s="38" t="s">
        <v>394</v>
      </c>
    </row>
    <row r="206" spans="1:21" x14ac:dyDescent="0.25">
      <c r="A206" s="18" t="s">
        <v>469</v>
      </c>
      <c r="B206" s="18" t="s">
        <v>78</v>
      </c>
      <c r="C206" s="18" t="s">
        <v>83</v>
      </c>
      <c r="D206" s="18" t="s">
        <v>114</v>
      </c>
      <c r="E206" s="19" t="s">
        <v>85</v>
      </c>
      <c r="F206" s="18" t="s">
        <v>471</v>
      </c>
      <c r="G206" s="18" t="s">
        <v>39</v>
      </c>
      <c r="H206" s="9">
        <v>3100</v>
      </c>
      <c r="I206" s="56">
        <f t="shared" si="12"/>
        <v>23.25</v>
      </c>
      <c r="J206" s="21">
        <f t="shared" si="11"/>
        <v>3123.25</v>
      </c>
      <c r="K206" s="53">
        <f t="shared" si="13"/>
        <v>3286</v>
      </c>
      <c r="L206" s="22">
        <f t="shared" si="14"/>
        <v>142.75</v>
      </c>
      <c r="M206" s="16">
        <v>20</v>
      </c>
      <c r="N206" s="15">
        <v>1</v>
      </c>
      <c r="O206" s="15">
        <v>1</v>
      </c>
      <c r="P206" s="15">
        <v>0</v>
      </c>
      <c r="Q206" s="15"/>
      <c r="R206" s="16">
        <v>0</v>
      </c>
      <c r="S206" s="15">
        <v>2</v>
      </c>
      <c r="T206" s="16">
        <f>+N206+O206+P206+R206+S206</f>
        <v>4</v>
      </c>
      <c r="U206" s="38" t="s">
        <v>394</v>
      </c>
    </row>
    <row r="207" spans="1:21" x14ac:dyDescent="0.25">
      <c r="A207" s="18" t="s">
        <v>469</v>
      </c>
      <c r="B207" s="18" t="s">
        <v>205</v>
      </c>
      <c r="C207" s="18" t="s">
        <v>79</v>
      </c>
      <c r="D207" s="18" t="s">
        <v>472</v>
      </c>
      <c r="E207" s="19" t="s">
        <v>473</v>
      </c>
      <c r="F207" s="18" t="s">
        <v>474</v>
      </c>
      <c r="G207" s="18" t="s">
        <v>39</v>
      </c>
      <c r="H207" s="9">
        <v>4300</v>
      </c>
      <c r="I207" s="56">
        <f t="shared" si="12"/>
        <v>32.25</v>
      </c>
      <c r="J207" s="21">
        <f t="shared" si="11"/>
        <v>4332.25</v>
      </c>
      <c r="K207" s="53">
        <f t="shared" si="13"/>
        <v>4558</v>
      </c>
      <c r="L207" s="22">
        <f t="shared" si="14"/>
        <v>195.75</v>
      </c>
      <c r="M207" s="16">
        <v>30</v>
      </c>
      <c r="N207" s="15">
        <v>0</v>
      </c>
      <c r="O207" s="15">
        <v>1</v>
      </c>
      <c r="P207" s="15">
        <v>0</v>
      </c>
      <c r="Q207" s="15"/>
      <c r="R207" s="16">
        <v>0</v>
      </c>
      <c r="S207" s="15">
        <v>1</v>
      </c>
      <c r="T207" s="16">
        <f>+N207+O207+P207+R207+S207</f>
        <v>2</v>
      </c>
      <c r="U207" s="38" t="s">
        <v>394</v>
      </c>
    </row>
    <row r="208" spans="1:21" x14ac:dyDescent="0.25">
      <c r="A208" s="18" t="s">
        <v>469</v>
      </c>
      <c r="B208" s="18" t="s">
        <v>78</v>
      </c>
      <c r="C208" s="18" t="s">
        <v>83</v>
      </c>
      <c r="D208" s="18" t="s">
        <v>475</v>
      </c>
      <c r="E208" s="19" t="s">
        <v>476</v>
      </c>
      <c r="F208" s="18" t="s">
        <v>477</v>
      </c>
      <c r="G208" s="18" t="s">
        <v>39</v>
      </c>
      <c r="H208" s="9">
        <v>4900</v>
      </c>
      <c r="I208" s="56">
        <f t="shared" si="12"/>
        <v>36.75</v>
      </c>
      <c r="J208" s="21">
        <f t="shared" si="11"/>
        <v>4936.75</v>
      </c>
      <c r="K208" s="53">
        <f t="shared" si="13"/>
        <v>5194</v>
      </c>
      <c r="L208" s="22">
        <f t="shared" si="14"/>
        <v>227.25</v>
      </c>
      <c r="M208" s="16">
        <v>30</v>
      </c>
      <c r="N208" s="15">
        <v>0</v>
      </c>
      <c r="O208" s="15">
        <v>0</v>
      </c>
      <c r="P208" s="15">
        <v>0</v>
      </c>
      <c r="Q208" s="15"/>
      <c r="R208" s="16">
        <v>0</v>
      </c>
      <c r="S208" s="15">
        <v>1</v>
      </c>
      <c r="T208" s="16">
        <f>+N208+O208+P208+R208+S208</f>
        <v>1</v>
      </c>
      <c r="U208" s="38" t="s">
        <v>394</v>
      </c>
    </row>
    <row r="209" spans="1:21" x14ac:dyDescent="0.25">
      <c r="A209" s="18" t="s">
        <v>469</v>
      </c>
      <c r="B209" s="18" t="s">
        <v>78</v>
      </c>
      <c r="C209" s="18" t="s">
        <v>83</v>
      </c>
      <c r="D209" s="18" t="s">
        <v>475</v>
      </c>
      <c r="E209" s="19" t="s">
        <v>473</v>
      </c>
      <c r="F209" s="18" t="s">
        <v>478</v>
      </c>
      <c r="G209" s="18" t="s">
        <v>39</v>
      </c>
      <c r="H209" s="9">
        <v>5600</v>
      </c>
      <c r="I209" s="56">
        <f t="shared" si="12"/>
        <v>42</v>
      </c>
      <c r="J209" s="21">
        <f t="shared" si="11"/>
        <v>5642</v>
      </c>
      <c r="K209" s="53">
        <f t="shared" si="13"/>
        <v>5936</v>
      </c>
      <c r="L209" s="22">
        <f t="shared" si="14"/>
        <v>264</v>
      </c>
      <c r="M209" s="16">
        <v>30</v>
      </c>
      <c r="N209" s="15">
        <v>0</v>
      </c>
      <c r="O209" s="15">
        <v>0</v>
      </c>
      <c r="P209" s="15">
        <v>0</v>
      </c>
      <c r="Q209" s="15"/>
      <c r="R209" s="16">
        <v>0</v>
      </c>
      <c r="S209" s="15">
        <v>1</v>
      </c>
      <c r="T209" s="16">
        <f>+N209+O209+P209+R209+S209</f>
        <v>1</v>
      </c>
      <c r="U209" s="38" t="s">
        <v>394</v>
      </c>
    </row>
    <row r="210" spans="1:21" x14ac:dyDescent="0.25">
      <c r="A210" s="18" t="s">
        <v>469</v>
      </c>
      <c r="B210" s="18" t="s">
        <v>78</v>
      </c>
      <c r="C210" s="18" t="s">
        <v>83</v>
      </c>
      <c r="D210" s="18" t="s">
        <v>293</v>
      </c>
      <c r="E210" s="19" t="s">
        <v>473</v>
      </c>
      <c r="F210" s="18" t="s">
        <v>479</v>
      </c>
      <c r="G210" s="18" t="s">
        <v>24</v>
      </c>
      <c r="H210" s="9">
        <v>7200</v>
      </c>
      <c r="I210" s="56">
        <f t="shared" si="12"/>
        <v>54</v>
      </c>
      <c r="J210" s="21">
        <f t="shared" si="11"/>
        <v>7254</v>
      </c>
      <c r="K210" s="53">
        <f t="shared" si="13"/>
        <v>7632</v>
      </c>
      <c r="L210" s="22">
        <f t="shared" si="14"/>
        <v>348</v>
      </c>
      <c r="M210" s="16">
        <v>30</v>
      </c>
      <c r="N210" s="15">
        <v>0</v>
      </c>
      <c r="O210" s="15">
        <v>0</v>
      </c>
      <c r="P210" s="15">
        <v>0</v>
      </c>
      <c r="Q210" s="15"/>
      <c r="R210" s="16">
        <v>0</v>
      </c>
      <c r="S210" s="15">
        <v>2</v>
      </c>
      <c r="T210" s="16">
        <f>+N210+O210+P210+R210+S210</f>
        <v>2</v>
      </c>
      <c r="U210" s="38" t="s">
        <v>394</v>
      </c>
    </row>
    <row r="211" spans="1:21" x14ac:dyDescent="0.25">
      <c r="A211" s="18" t="s">
        <v>469</v>
      </c>
      <c r="B211" s="18" t="s">
        <v>78</v>
      </c>
      <c r="C211" s="18" t="s">
        <v>83</v>
      </c>
      <c r="D211" s="18" t="s">
        <v>293</v>
      </c>
      <c r="E211" s="19" t="s">
        <v>476</v>
      </c>
      <c r="F211" s="18" t="s">
        <v>480</v>
      </c>
      <c r="G211" s="18" t="s">
        <v>24</v>
      </c>
      <c r="H211" s="9">
        <v>6800</v>
      </c>
      <c r="I211" s="56">
        <f t="shared" si="12"/>
        <v>51</v>
      </c>
      <c r="J211" s="21">
        <f t="shared" si="11"/>
        <v>6851</v>
      </c>
      <c r="K211" s="53">
        <f t="shared" si="13"/>
        <v>7208</v>
      </c>
      <c r="L211" s="22">
        <f t="shared" si="14"/>
        <v>327</v>
      </c>
      <c r="M211" s="16">
        <v>30</v>
      </c>
      <c r="N211" s="15">
        <v>0</v>
      </c>
      <c r="O211" s="15">
        <v>0</v>
      </c>
      <c r="P211" s="15">
        <v>0</v>
      </c>
      <c r="Q211" s="15"/>
      <c r="R211" s="16">
        <v>0</v>
      </c>
      <c r="S211" s="15">
        <v>1</v>
      </c>
      <c r="T211" s="16">
        <f>+N211+O211+P211+R211+S211</f>
        <v>1</v>
      </c>
      <c r="U211" s="38" t="s">
        <v>394</v>
      </c>
    </row>
    <row r="212" spans="1:21" x14ac:dyDescent="0.25">
      <c r="A212" s="18" t="s">
        <v>469</v>
      </c>
      <c r="B212" s="18" t="s">
        <v>78</v>
      </c>
      <c r="C212" s="18" t="s">
        <v>83</v>
      </c>
      <c r="D212" s="18" t="s">
        <v>481</v>
      </c>
      <c r="E212" s="19" t="s">
        <v>473</v>
      </c>
      <c r="F212" s="18" t="s">
        <v>482</v>
      </c>
      <c r="G212" s="18" t="s">
        <v>24</v>
      </c>
      <c r="H212" s="9">
        <v>6700</v>
      </c>
      <c r="I212" s="56">
        <f t="shared" si="12"/>
        <v>50.25</v>
      </c>
      <c r="J212" s="21">
        <f t="shared" si="11"/>
        <v>6750.25</v>
      </c>
      <c r="K212" s="53">
        <f t="shared" si="13"/>
        <v>7102</v>
      </c>
      <c r="L212" s="22">
        <f t="shared" si="14"/>
        <v>321.75</v>
      </c>
      <c r="M212" s="16">
        <v>30</v>
      </c>
      <c r="N212" s="15">
        <v>0</v>
      </c>
      <c r="O212" s="15">
        <v>1</v>
      </c>
      <c r="P212" s="15">
        <v>0</v>
      </c>
      <c r="Q212" s="15"/>
      <c r="R212" s="16">
        <v>0</v>
      </c>
      <c r="S212" s="15">
        <v>3</v>
      </c>
      <c r="T212" s="16">
        <f>+N212+O212+P212+R212+S212</f>
        <v>4</v>
      </c>
      <c r="U212" s="38" t="s">
        <v>394</v>
      </c>
    </row>
    <row r="213" spans="1:21" x14ac:dyDescent="0.25">
      <c r="A213" s="18" t="s">
        <v>469</v>
      </c>
      <c r="B213" s="18" t="s">
        <v>78</v>
      </c>
      <c r="C213" s="18" t="s">
        <v>83</v>
      </c>
      <c r="D213" s="18" t="s">
        <v>483</v>
      </c>
      <c r="E213" s="19" t="s">
        <v>476</v>
      </c>
      <c r="F213" s="18" t="s">
        <v>484</v>
      </c>
      <c r="G213" s="18" t="s">
        <v>24</v>
      </c>
      <c r="H213" s="9">
        <v>8800</v>
      </c>
      <c r="I213" s="56">
        <f t="shared" si="12"/>
        <v>66</v>
      </c>
      <c r="J213" s="21">
        <f t="shared" si="11"/>
        <v>8866</v>
      </c>
      <c r="K213" s="53">
        <f t="shared" si="13"/>
        <v>9328</v>
      </c>
      <c r="L213" s="22">
        <f t="shared" si="14"/>
        <v>432</v>
      </c>
      <c r="M213" s="16">
        <v>30</v>
      </c>
      <c r="N213" s="15">
        <v>0</v>
      </c>
      <c r="O213" s="15">
        <v>0</v>
      </c>
      <c r="P213" s="15">
        <v>0</v>
      </c>
      <c r="Q213" s="15"/>
      <c r="R213" s="16">
        <v>0</v>
      </c>
      <c r="S213" s="15">
        <v>2</v>
      </c>
      <c r="T213" s="16">
        <f>+N213+O213+P213+R213+S213</f>
        <v>2</v>
      </c>
      <c r="U213" s="38" t="s">
        <v>394</v>
      </c>
    </row>
    <row r="214" spans="1:21" x14ac:dyDescent="0.25">
      <c r="A214" s="18" t="s">
        <v>469</v>
      </c>
      <c r="B214" s="18" t="s">
        <v>78</v>
      </c>
      <c r="C214" s="18" t="s">
        <v>485</v>
      </c>
      <c r="D214" s="18" t="s">
        <v>486</v>
      </c>
      <c r="E214" s="19" t="s">
        <v>473</v>
      </c>
      <c r="F214" s="18" t="s">
        <v>487</v>
      </c>
      <c r="G214" s="18" t="s">
        <v>39</v>
      </c>
      <c r="H214" s="9">
        <v>4850</v>
      </c>
      <c r="I214" s="56">
        <f t="shared" si="12"/>
        <v>36.375</v>
      </c>
      <c r="J214" s="21">
        <f t="shared" ref="J214:J283" si="15">+H214+I214</f>
        <v>4886.375</v>
      </c>
      <c r="K214" s="53">
        <f t="shared" si="13"/>
        <v>5141</v>
      </c>
      <c r="L214" s="22">
        <f t="shared" si="14"/>
        <v>224.625</v>
      </c>
      <c r="M214" s="16">
        <v>30</v>
      </c>
      <c r="N214" s="15">
        <v>1</v>
      </c>
      <c r="O214" s="15">
        <v>0</v>
      </c>
      <c r="P214" s="15">
        <v>1</v>
      </c>
      <c r="Q214" s="15"/>
      <c r="R214" s="16">
        <v>0</v>
      </c>
      <c r="S214" s="15">
        <v>1</v>
      </c>
      <c r="T214" s="16">
        <f>+N214+O214+P214+R214+S214</f>
        <v>3</v>
      </c>
      <c r="U214" s="38" t="s">
        <v>215</v>
      </c>
    </row>
    <row r="215" spans="1:21" x14ac:dyDescent="0.25">
      <c r="A215" s="18" t="s">
        <v>469</v>
      </c>
      <c r="B215" s="18" t="s">
        <v>205</v>
      </c>
      <c r="C215" s="18" t="s">
        <v>485</v>
      </c>
      <c r="D215" s="18" t="s">
        <v>488</v>
      </c>
      <c r="E215" s="19" t="s">
        <v>473</v>
      </c>
      <c r="F215" s="18" t="s">
        <v>489</v>
      </c>
      <c r="G215" s="18" t="s">
        <v>39</v>
      </c>
      <c r="H215" s="9">
        <v>8050</v>
      </c>
      <c r="I215" s="56">
        <f t="shared" si="12"/>
        <v>60.375</v>
      </c>
      <c r="J215" s="21">
        <f t="shared" si="15"/>
        <v>8110.375</v>
      </c>
      <c r="K215" s="53">
        <f t="shared" si="13"/>
        <v>8533</v>
      </c>
      <c r="L215" s="22">
        <f t="shared" si="14"/>
        <v>362.625</v>
      </c>
      <c r="M215" s="16">
        <v>60</v>
      </c>
      <c r="N215" s="15">
        <v>0</v>
      </c>
      <c r="O215" s="15">
        <v>0</v>
      </c>
      <c r="P215" s="15">
        <v>0</v>
      </c>
      <c r="Q215" s="15"/>
      <c r="R215" s="16">
        <v>0</v>
      </c>
      <c r="S215" s="15">
        <v>1</v>
      </c>
      <c r="T215" s="16">
        <f>+N215+O215+P215+R215+S215</f>
        <v>1</v>
      </c>
      <c r="U215" s="38" t="s">
        <v>394</v>
      </c>
    </row>
    <row r="216" spans="1:21" x14ac:dyDescent="0.25">
      <c r="A216" s="18" t="s">
        <v>469</v>
      </c>
      <c r="B216" s="18" t="s">
        <v>205</v>
      </c>
      <c r="C216" s="18" t="s">
        <v>485</v>
      </c>
      <c r="D216" s="18" t="s">
        <v>488</v>
      </c>
      <c r="E216" s="19" t="s">
        <v>473</v>
      </c>
      <c r="F216" s="18" t="s">
        <v>490</v>
      </c>
      <c r="G216" s="18" t="s">
        <v>57</v>
      </c>
      <c r="H216" s="9">
        <v>9282</v>
      </c>
      <c r="I216" s="56">
        <f t="shared" si="12"/>
        <v>69.614999999999995</v>
      </c>
      <c r="J216" s="21">
        <f t="shared" si="15"/>
        <v>9351.6149999999998</v>
      </c>
      <c r="K216" s="53">
        <f t="shared" si="13"/>
        <v>9838.92</v>
      </c>
      <c r="L216" s="22">
        <f t="shared" si="14"/>
        <v>427.30500000000029</v>
      </c>
      <c r="M216" s="16">
        <v>60</v>
      </c>
      <c r="N216" s="15">
        <v>0</v>
      </c>
      <c r="O216" s="15">
        <v>1</v>
      </c>
      <c r="P216" s="15">
        <v>0</v>
      </c>
      <c r="Q216" s="15"/>
      <c r="R216" s="16">
        <v>0</v>
      </c>
      <c r="S216" s="15">
        <v>3</v>
      </c>
      <c r="T216" s="16">
        <f>+N216+O216+P216+R216+S216</f>
        <v>4</v>
      </c>
      <c r="U216" s="17" t="s">
        <v>68</v>
      </c>
    </row>
    <row r="217" spans="1:21" x14ac:dyDescent="0.25">
      <c r="A217" s="18" t="s">
        <v>469</v>
      </c>
      <c r="B217" s="18" t="s">
        <v>87</v>
      </c>
      <c r="C217" s="18" t="s">
        <v>92</v>
      </c>
      <c r="D217" s="18" t="s">
        <v>491</v>
      </c>
      <c r="E217" s="19" t="s">
        <v>476</v>
      </c>
      <c r="F217" s="18" t="s">
        <v>492</v>
      </c>
      <c r="G217" s="18" t="s">
        <v>57</v>
      </c>
      <c r="H217" s="9">
        <v>9360</v>
      </c>
      <c r="I217" s="56">
        <f t="shared" si="12"/>
        <v>70.2</v>
      </c>
      <c r="J217" s="21">
        <f t="shared" si="15"/>
        <v>9430.2000000000007</v>
      </c>
      <c r="K217" s="53">
        <f t="shared" si="13"/>
        <v>9921.6</v>
      </c>
      <c r="L217" s="22">
        <f t="shared" si="14"/>
        <v>391.39999999999964</v>
      </c>
      <c r="M217" s="16">
        <v>100</v>
      </c>
      <c r="N217" s="15">
        <v>0</v>
      </c>
      <c r="O217" s="15">
        <v>1</v>
      </c>
      <c r="P217" s="15">
        <v>0</v>
      </c>
      <c r="Q217" s="15"/>
      <c r="R217" s="16">
        <v>0</v>
      </c>
      <c r="S217" s="15">
        <v>0</v>
      </c>
      <c r="T217" s="16">
        <f>+N217+O217+P217+R217+S217</f>
        <v>1</v>
      </c>
      <c r="U217" s="17" t="s">
        <v>68</v>
      </c>
    </row>
    <row r="218" spans="1:21" x14ac:dyDescent="0.25">
      <c r="A218" s="18" t="s">
        <v>469</v>
      </c>
      <c r="B218" s="18" t="s">
        <v>182</v>
      </c>
      <c r="C218" s="18" t="s">
        <v>105</v>
      </c>
      <c r="D218" s="18"/>
      <c r="E218" s="19"/>
      <c r="F218" s="18" t="s">
        <v>493</v>
      </c>
      <c r="G218" s="18" t="s">
        <v>57</v>
      </c>
      <c r="H218" s="9">
        <v>1050</v>
      </c>
      <c r="I218" s="56">
        <f t="shared" si="12"/>
        <v>7.875</v>
      </c>
      <c r="J218" s="21">
        <f t="shared" si="15"/>
        <v>1057.875</v>
      </c>
      <c r="K218" s="53">
        <f t="shared" si="13"/>
        <v>1113</v>
      </c>
      <c r="L218" s="22">
        <f t="shared" si="14"/>
        <v>35.125</v>
      </c>
      <c r="M218" s="16">
        <v>20</v>
      </c>
      <c r="N218" s="15">
        <v>1</v>
      </c>
      <c r="O218" s="15">
        <v>0</v>
      </c>
      <c r="P218" s="15">
        <v>0</v>
      </c>
      <c r="Q218" s="15"/>
      <c r="R218" s="16">
        <v>0</v>
      </c>
      <c r="S218" s="15">
        <v>0</v>
      </c>
      <c r="T218" s="16">
        <f>+N218+O218+P218+R218+S218</f>
        <v>1</v>
      </c>
      <c r="U218" s="17" t="s">
        <v>394</v>
      </c>
    </row>
    <row r="219" spans="1:21" x14ac:dyDescent="0.25">
      <c r="A219" s="18" t="s">
        <v>494</v>
      </c>
      <c r="B219" s="18" t="s">
        <v>268</v>
      </c>
      <c r="C219" s="18" t="s">
        <v>269</v>
      </c>
      <c r="D219" s="18" t="s">
        <v>451</v>
      </c>
      <c r="E219" s="19" t="s">
        <v>271</v>
      </c>
      <c r="F219" s="18" t="s">
        <v>495</v>
      </c>
      <c r="G219" s="18" t="s">
        <v>39</v>
      </c>
      <c r="H219" s="9">
        <v>2500</v>
      </c>
      <c r="I219" s="56">
        <f t="shared" si="12"/>
        <v>18.75</v>
      </c>
      <c r="J219" s="21">
        <f t="shared" si="15"/>
        <v>2518.75</v>
      </c>
      <c r="K219" s="53">
        <f t="shared" si="13"/>
        <v>2650</v>
      </c>
      <c r="L219" s="22">
        <f t="shared" si="14"/>
        <v>81.25</v>
      </c>
      <c r="M219" s="16">
        <v>50</v>
      </c>
      <c r="N219" s="15">
        <v>1</v>
      </c>
      <c r="O219" s="15">
        <v>0</v>
      </c>
      <c r="P219" s="15">
        <v>0</v>
      </c>
      <c r="Q219" s="15"/>
      <c r="R219" s="16">
        <v>0</v>
      </c>
      <c r="S219" s="15">
        <v>0</v>
      </c>
      <c r="T219" s="16">
        <f>+N219+O219+P219+R219+S219</f>
        <v>1</v>
      </c>
      <c r="U219" s="17" t="s">
        <v>496</v>
      </c>
    </row>
    <row r="220" spans="1:21" ht="15" customHeight="1" x14ac:dyDescent="0.25">
      <c r="A220" s="18" t="s">
        <v>494</v>
      </c>
      <c r="B220" s="18" t="s">
        <v>87</v>
      </c>
      <c r="C220" s="18" t="s">
        <v>92</v>
      </c>
      <c r="D220" s="18" t="s">
        <v>497</v>
      </c>
      <c r="E220" s="19" t="s">
        <v>498</v>
      </c>
      <c r="F220" s="18" t="s">
        <v>499</v>
      </c>
      <c r="G220" s="18" t="s">
        <v>166</v>
      </c>
      <c r="H220" s="9">
        <v>2376</v>
      </c>
      <c r="I220" s="56">
        <f t="shared" si="12"/>
        <v>17.82</v>
      </c>
      <c r="J220" s="21">
        <f>+H220+I220</f>
        <v>2393.8200000000002</v>
      </c>
      <c r="K220" s="53">
        <f t="shared" si="13"/>
        <v>2518.56</v>
      </c>
      <c r="L220" s="22">
        <f t="shared" si="14"/>
        <v>94.739999999999782</v>
      </c>
      <c r="M220" s="20">
        <v>30</v>
      </c>
      <c r="N220" s="15">
        <v>1</v>
      </c>
      <c r="O220" s="15">
        <v>1</v>
      </c>
      <c r="P220" s="15">
        <v>0</v>
      </c>
      <c r="Q220" s="15"/>
      <c r="R220" s="16">
        <v>0</v>
      </c>
      <c r="S220" s="15">
        <v>15</v>
      </c>
      <c r="T220" s="16">
        <f>+N220+O220+P220+R220+S220</f>
        <v>17</v>
      </c>
      <c r="U220" s="17" t="s">
        <v>496</v>
      </c>
    </row>
    <row r="221" spans="1:21" ht="15" customHeight="1" x14ac:dyDescent="0.25">
      <c r="A221" s="18" t="s">
        <v>494</v>
      </c>
      <c r="B221" s="18" t="s">
        <v>87</v>
      </c>
      <c r="C221" s="18" t="s">
        <v>92</v>
      </c>
      <c r="D221" s="18" t="s">
        <v>69</v>
      </c>
      <c r="E221" s="19" t="s">
        <v>186</v>
      </c>
      <c r="F221" s="39" t="s">
        <v>500</v>
      </c>
      <c r="G221" s="18" t="s">
        <v>39</v>
      </c>
      <c r="H221" s="9">
        <v>2934</v>
      </c>
      <c r="I221" s="56">
        <f t="shared" si="12"/>
        <v>22.004999999999999</v>
      </c>
      <c r="J221" s="21">
        <f>+H221+I221</f>
        <v>2956.0050000000001</v>
      </c>
      <c r="K221" s="53">
        <f t="shared" si="13"/>
        <v>3110.04</v>
      </c>
      <c r="L221" s="22">
        <f t="shared" si="14"/>
        <v>124.03499999999985</v>
      </c>
      <c r="M221" s="20">
        <v>30</v>
      </c>
      <c r="N221" s="15">
        <v>0</v>
      </c>
      <c r="O221" s="15">
        <v>0</v>
      </c>
      <c r="P221" s="15">
        <v>1</v>
      </c>
      <c r="Q221" s="15"/>
      <c r="R221" s="16">
        <v>0</v>
      </c>
      <c r="S221" s="15">
        <v>7</v>
      </c>
      <c r="T221" s="16">
        <f>+N221+O221+P221+R221+S221</f>
        <v>8</v>
      </c>
      <c r="U221" s="17" t="s">
        <v>496</v>
      </c>
    </row>
    <row r="222" spans="1:21" ht="15" customHeight="1" x14ac:dyDescent="0.25">
      <c r="A222" s="18" t="s">
        <v>494</v>
      </c>
      <c r="B222" s="18" t="s">
        <v>87</v>
      </c>
      <c r="C222" s="18" t="s">
        <v>92</v>
      </c>
      <c r="D222" s="18" t="s">
        <v>501</v>
      </c>
      <c r="E222" s="19" t="s">
        <v>364</v>
      </c>
      <c r="F222" s="39" t="s">
        <v>502</v>
      </c>
      <c r="G222" s="18" t="s">
        <v>39</v>
      </c>
      <c r="H222" s="9">
        <v>3600</v>
      </c>
      <c r="I222" s="56">
        <f t="shared" si="12"/>
        <v>27</v>
      </c>
      <c r="J222" s="21">
        <f>+H222+I222</f>
        <v>3627</v>
      </c>
      <c r="K222" s="53">
        <f t="shared" si="13"/>
        <v>3816</v>
      </c>
      <c r="L222" s="22">
        <f t="shared" si="14"/>
        <v>159</v>
      </c>
      <c r="M222" s="20">
        <v>30</v>
      </c>
      <c r="N222" s="15">
        <v>0</v>
      </c>
      <c r="O222" s="15">
        <v>0</v>
      </c>
      <c r="P222" s="15">
        <v>1</v>
      </c>
      <c r="Q222" s="15"/>
      <c r="R222" s="16">
        <v>0</v>
      </c>
      <c r="S222" s="15">
        <v>5</v>
      </c>
      <c r="T222" s="16">
        <f>+N222+O222+P222+R222+S222</f>
        <v>6</v>
      </c>
      <c r="U222" s="17" t="s">
        <v>496</v>
      </c>
    </row>
    <row r="223" spans="1:21" x14ac:dyDescent="0.25">
      <c r="A223" s="18" t="s">
        <v>494</v>
      </c>
      <c r="B223" s="18" t="s">
        <v>87</v>
      </c>
      <c r="C223" s="18" t="s">
        <v>92</v>
      </c>
      <c r="D223" s="18" t="s">
        <v>503</v>
      </c>
      <c r="E223" s="19" t="s">
        <v>504</v>
      </c>
      <c r="F223" s="39" t="s">
        <v>505</v>
      </c>
      <c r="G223" s="18" t="s">
        <v>57</v>
      </c>
      <c r="H223" s="9">
        <v>3556</v>
      </c>
      <c r="I223" s="56">
        <f t="shared" si="12"/>
        <v>26.669999999999998</v>
      </c>
      <c r="J223" s="21">
        <f>+H223+I223</f>
        <v>3582.67</v>
      </c>
      <c r="K223" s="53">
        <f t="shared" si="13"/>
        <v>3769.36</v>
      </c>
      <c r="L223" s="22">
        <f t="shared" si="14"/>
        <v>156.69000000000005</v>
      </c>
      <c r="M223" s="20">
        <v>30</v>
      </c>
      <c r="N223" s="15">
        <v>0</v>
      </c>
      <c r="O223" s="15">
        <v>0</v>
      </c>
      <c r="P223" s="15">
        <v>1</v>
      </c>
      <c r="Q223" s="15"/>
      <c r="R223" s="16">
        <v>0</v>
      </c>
      <c r="S223" s="15">
        <v>8</v>
      </c>
      <c r="T223" s="16">
        <f>+N223+O223+P223+R223+S223</f>
        <v>9</v>
      </c>
      <c r="U223" s="17" t="s">
        <v>496</v>
      </c>
    </row>
    <row r="224" spans="1:21" x14ac:dyDescent="0.25">
      <c r="A224" s="18" t="s">
        <v>494</v>
      </c>
      <c r="B224" s="18" t="s">
        <v>87</v>
      </c>
      <c r="C224" s="18" t="s">
        <v>92</v>
      </c>
      <c r="D224" s="40" t="s">
        <v>501</v>
      </c>
      <c r="E224" s="19" t="s">
        <v>506</v>
      </c>
      <c r="F224" s="40" t="s">
        <v>507</v>
      </c>
      <c r="G224" s="18" t="s">
        <v>508</v>
      </c>
      <c r="H224" s="9">
        <v>5200</v>
      </c>
      <c r="I224" s="56">
        <f t="shared" si="12"/>
        <v>39</v>
      </c>
      <c r="J224" s="21">
        <f>+H224+I224</f>
        <v>5239</v>
      </c>
      <c r="K224" s="53">
        <f t="shared" si="13"/>
        <v>5512</v>
      </c>
      <c r="L224" s="22">
        <f t="shared" si="14"/>
        <v>223</v>
      </c>
      <c r="M224" s="20">
        <v>50</v>
      </c>
      <c r="N224" s="15">
        <v>1</v>
      </c>
      <c r="O224" s="15">
        <v>0</v>
      </c>
      <c r="P224" s="15">
        <v>0</v>
      </c>
      <c r="Q224" s="15"/>
      <c r="R224" s="16">
        <v>0</v>
      </c>
      <c r="S224" s="15">
        <v>10</v>
      </c>
      <c r="T224" s="16">
        <f>+N224+O224+P224+R224+S224</f>
        <v>11</v>
      </c>
      <c r="U224" s="17" t="s">
        <v>496</v>
      </c>
    </row>
    <row r="225" spans="1:21" x14ac:dyDescent="0.25">
      <c r="A225" s="7" t="s">
        <v>494</v>
      </c>
      <c r="B225" s="7" t="s">
        <v>87</v>
      </c>
      <c r="C225" s="7" t="s">
        <v>92</v>
      </c>
      <c r="D225" s="41" t="s">
        <v>509</v>
      </c>
      <c r="E225" s="8" t="s">
        <v>510</v>
      </c>
      <c r="F225" s="41" t="s">
        <v>511</v>
      </c>
      <c r="G225" s="42" t="s">
        <v>57</v>
      </c>
      <c r="H225" s="9">
        <v>5900</v>
      </c>
      <c r="I225" s="56">
        <f t="shared" si="12"/>
        <v>44.25</v>
      </c>
      <c r="J225" s="11">
        <f t="shared" si="15"/>
        <v>5944.25</v>
      </c>
      <c r="K225" s="53">
        <f t="shared" si="13"/>
        <v>6254</v>
      </c>
      <c r="L225" s="13">
        <f t="shared" si="14"/>
        <v>259.75</v>
      </c>
      <c r="M225" s="10">
        <v>50</v>
      </c>
      <c r="N225" s="15">
        <v>0</v>
      </c>
      <c r="O225" s="15">
        <v>0</v>
      </c>
      <c r="P225" s="15">
        <v>0</v>
      </c>
      <c r="Q225" s="15"/>
      <c r="R225" s="16">
        <v>0</v>
      </c>
      <c r="S225" s="15">
        <v>4</v>
      </c>
      <c r="T225" s="16">
        <f>+N225+O225+P225+R225+S225</f>
        <v>4</v>
      </c>
      <c r="U225" s="17" t="s">
        <v>496</v>
      </c>
    </row>
    <row r="226" spans="1:21" x14ac:dyDescent="0.25">
      <c r="A226" s="18" t="s">
        <v>494</v>
      </c>
      <c r="B226" s="18" t="s">
        <v>87</v>
      </c>
      <c r="C226" s="18" t="s">
        <v>92</v>
      </c>
      <c r="D226" s="40" t="s">
        <v>501</v>
      </c>
      <c r="E226" s="19" t="s">
        <v>512</v>
      </c>
      <c r="F226" s="40" t="s">
        <v>513</v>
      </c>
      <c r="G226" s="40" t="s">
        <v>57</v>
      </c>
      <c r="H226" s="9">
        <v>5300</v>
      </c>
      <c r="I226" s="56">
        <f t="shared" si="12"/>
        <v>39.75</v>
      </c>
      <c r="J226" s="21">
        <f t="shared" si="15"/>
        <v>5339.75</v>
      </c>
      <c r="K226" s="53">
        <f t="shared" si="13"/>
        <v>5618</v>
      </c>
      <c r="L226" s="22">
        <f t="shared" si="14"/>
        <v>228.25</v>
      </c>
      <c r="M226" s="20">
        <v>50</v>
      </c>
      <c r="N226" s="15">
        <v>0</v>
      </c>
      <c r="O226" s="15">
        <v>0</v>
      </c>
      <c r="P226" s="15">
        <v>0</v>
      </c>
      <c r="Q226" s="15"/>
      <c r="R226" s="16">
        <v>0</v>
      </c>
      <c r="S226" s="15">
        <v>0</v>
      </c>
      <c r="T226" s="16">
        <f>+N226+O226+P226+R226+S226</f>
        <v>0</v>
      </c>
      <c r="U226" s="17" t="s">
        <v>496</v>
      </c>
    </row>
    <row r="227" spans="1:21" x14ac:dyDescent="0.25">
      <c r="A227" s="18" t="s">
        <v>494</v>
      </c>
      <c r="B227" s="18" t="s">
        <v>87</v>
      </c>
      <c r="C227" s="18" t="s">
        <v>92</v>
      </c>
      <c r="D227" s="40" t="s">
        <v>514</v>
      </c>
      <c r="E227" s="19" t="s">
        <v>510</v>
      </c>
      <c r="F227" s="40" t="s">
        <v>515</v>
      </c>
      <c r="G227" s="40" t="s">
        <v>57</v>
      </c>
      <c r="H227" s="9">
        <v>6100</v>
      </c>
      <c r="I227" s="56">
        <f t="shared" si="12"/>
        <v>45.75</v>
      </c>
      <c r="J227" s="21">
        <f t="shared" si="15"/>
        <v>6145.75</v>
      </c>
      <c r="K227" s="53">
        <f t="shared" si="13"/>
        <v>6466</v>
      </c>
      <c r="L227" s="22">
        <f t="shared" si="14"/>
        <v>290.25</v>
      </c>
      <c r="M227" s="20">
        <v>30</v>
      </c>
      <c r="N227" s="15">
        <v>1</v>
      </c>
      <c r="O227" s="15">
        <v>0</v>
      </c>
      <c r="P227" s="15">
        <v>1</v>
      </c>
      <c r="Q227" s="15"/>
      <c r="R227" s="16">
        <v>0</v>
      </c>
      <c r="S227" s="15">
        <v>4</v>
      </c>
      <c r="T227" s="16">
        <f>+N227+O227+P227+R227+S227</f>
        <v>6</v>
      </c>
      <c r="U227" s="17" t="s">
        <v>496</v>
      </c>
    </row>
    <row r="228" spans="1:21" x14ac:dyDescent="0.25">
      <c r="A228" s="18" t="s">
        <v>494</v>
      </c>
      <c r="B228" s="18" t="s">
        <v>87</v>
      </c>
      <c r="C228" s="18" t="s">
        <v>92</v>
      </c>
      <c r="D228" s="40" t="s">
        <v>514</v>
      </c>
      <c r="E228" s="19" t="s">
        <v>512</v>
      </c>
      <c r="F228" s="40" t="s">
        <v>516</v>
      </c>
      <c r="G228" s="40" t="s">
        <v>57</v>
      </c>
      <c r="H228" s="9">
        <v>5800</v>
      </c>
      <c r="I228" s="56">
        <f t="shared" si="12"/>
        <v>43.5</v>
      </c>
      <c r="J228" s="21">
        <f t="shared" si="15"/>
        <v>5843.5</v>
      </c>
      <c r="K228" s="53">
        <f t="shared" si="13"/>
        <v>6148</v>
      </c>
      <c r="L228" s="22">
        <f t="shared" si="14"/>
        <v>274.5</v>
      </c>
      <c r="M228" s="20">
        <v>30</v>
      </c>
      <c r="N228" s="15">
        <v>0</v>
      </c>
      <c r="O228" s="15">
        <v>0</v>
      </c>
      <c r="P228" s="15">
        <v>0</v>
      </c>
      <c r="Q228" s="15"/>
      <c r="R228" s="16">
        <v>0</v>
      </c>
      <c r="S228" s="15">
        <v>2</v>
      </c>
      <c r="T228" s="16">
        <f>+N228+O228+P228+R228+S228</f>
        <v>2</v>
      </c>
      <c r="U228" s="17" t="s">
        <v>496</v>
      </c>
    </row>
    <row r="229" spans="1:21" x14ac:dyDescent="0.25">
      <c r="A229" s="7" t="s">
        <v>494</v>
      </c>
      <c r="B229" s="7" t="s">
        <v>78</v>
      </c>
      <c r="C229" s="7" t="s">
        <v>79</v>
      </c>
      <c r="D229" s="7" t="s">
        <v>208</v>
      </c>
      <c r="E229" s="8" t="s">
        <v>85</v>
      </c>
      <c r="F229" s="7" t="s">
        <v>517</v>
      </c>
      <c r="G229" s="43" t="s">
        <v>39</v>
      </c>
      <c r="H229" s="9">
        <v>4800</v>
      </c>
      <c r="I229" s="56">
        <f t="shared" si="12"/>
        <v>36</v>
      </c>
      <c r="J229" s="11">
        <f t="shared" si="15"/>
        <v>4836</v>
      </c>
      <c r="K229" s="53">
        <f t="shared" si="13"/>
        <v>5088</v>
      </c>
      <c r="L229" s="13">
        <f t="shared" si="14"/>
        <v>202</v>
      </c>
      <c r="M229" s="10">
        <v>50</v>
      </c>
      <c r="N229" s="15">
        <v>0</v>
      </c>
      <c r="O229" s="15">
        <v>1</v>
      </c>
      <c r="P229" s="15">
        <v>0</v>
      </c>
      <c r="Q229" s="15"/>
      <c r="R229" s="16">
        <v>0</v>
      </c>
      <c r="S229" s="15">
        <v>3</v>
      </c>
      <c r="T229" s="16">
        <f>+N229+O229+P229+R229+S229</f>
        <v>4</v>
      </c>
      <c r="U229" s="17" t="s">
        <v>496</v>
      </c>
    </row>
    <row r="230" spans="1:21" x14ac:dyDescent="0.25">
      <c r="A230" s="18" t="s">
        <v>494</v>
      </c>
      <c r="B230" s="18" t="s">
        <v>47</v>
      </c>
      <c r="C230" s="18" t="s">
        <v>105</v>
      </c>
      <c r="D230" s="18" t="s">
        <v>106</v>
      </c>
      <c r="E230" s="19"/>
      <c r="F230" s="18" t="s">
        <v>518</v>
      </c>
      <c r="G230" s="40" t="s">
        <v>166</v>
      </c>
      <c r="H230" s="9">
        <v>900</v>
      </c>
      <c r="I230" s="56">
        <f t="shared" si="12"/>
        <v>6.75</v>
      </c>
      <c r="J230" s="21">
        <f t="shared" si="15"/>
        <v>906.75</v>
      </c>
      <c r="K230" s="53">
        <f t="shared" si="13"/>
        <v>954</v>
      </c>
      <c r="L230" s="22">
        <f t="shared" si="14"/>
        <v>27.25</v>
      </c>
      <c r="M230" s="20">
        <v>20</v>
      </c>
      <c r="N230" s="15">
        <v>1</v>
      </c>
      <c r="O230" s="15">
        <v>0</v>
      </c>
      <c r="P230" s="15">
        <v>0</v>
      </c>
      <c r="Q230" s="15"/>
      <c r="R230" s="16">
        <v>0</v>
      </c>
      <c r="S230" s="15">
        <v>0</v>
      </c>
      <c r="T230" s="16">
        <f>+N230+O230+P230+R230+S230</f>
        <v>1</v>
      </c>
      <c r="U230" s="17" t="s">
        <v>496</v>
      </c>
    </row>
    <row r="231" spans="1:21" x14ac:dyDescent="0.25">
      <c r="A231" s="18" t="s">
        <v>494</v>
      </c>
      <c r="B231" s="18" t="s">
        <v>47</v>
      </c>
      <c r="C231" s="18" t="s">
        <v>105</v>
      </c>
      <c r="D231" s="18" t="s">
        <v>519</v>
      </c>
      <c r="E231" s="19"/>
      <c r="F231" s="18" t="s">
        <v>520</v>
      </c>
      <c r="G231" s="40" t="s">
        <v>166</v>
      </c>
      <c r="H231" s="9">
        <v>1600</v>
      </c>
      <c r="I231" s="56">
        <f t="shared" si="12"/>
        <v>12</v>
      </c>
      <c r="J231" s="21">
        <f t="shared" si="15"/>
        <v>1612</v>
      </c>
      <c r="K231" s="53">
        <f t="shared" si="13"/>
        <v>1696</v>
      </c>
      <c r="L231" s="22">
        <f t="shared" si="14"/>
        <v>64</v>
      </c>
      <c r="M231" s="20">
        <v>20</v>
      </c>
      <c r="N231" s="15">
        <v>1</v>
      </c>
      <c r="O231" s="15">
        <v>0</v>
      </c>
      <c r="P231" s="15">
        <v>0</v>
      </c>
      <c r="Q231" s="15"/>
      <c r="R231" s="16">
        <v>0</v>
      </c>
      <c r="S231" s="15">
        <v>0</v>
      </c>
      <c r="T231" s="16">
        <f>+N231+O231+P231+R231+S231</f>
        <v>1</v>
      </c>
      <c r="U231" s="17" t="s">
        <v>496</v>
      </c>
    </row>
    <row r="232" spans="1:21" x14ac:dyDescent="0.25">
      <c r="A232" s="7" t="s">
        <v>494</v>
      </c>
      <c r="B232" s="7" t="s">
        <v>521</v>
      </c>
      <c r="C232" s="7" t="s">
        <v>79</v>
      </c>
      <c r="D232" s="7" t="s">
        <v>289</v>
      </c>
      <c r="E232" s="8" t="s">
        <v>522</v>
      </c>
      <c r="F232" s="7" t="s">
        <v>523</v>
      </c>
      <c r="G232" s="7" t="s">
        <v>166</v>
      </c>
      <c r="H232" s="9">
        <v>2900</v>
      </c>
      <c r="I232" s="56">
        <f t="shared" si="12"/>
        <v>21.75</v>
      </c>
      <c r="J232" s="11">
        <f t="shared" si="15"/>
        <v>2921.75</v>
      </c>
      <c r="K232" s="53">
        <f t="shared" si="13"/>
        <v>3074</v>
      </c>
      <c r="L232" s="13">
        <f t="shared" si="14"/>
        <v>122.25</v>
      </c>
      <c r="M232" s="10">
        <v>30</v>
      </c>
      <c r="N232" s="15">
        <v>1</v>
      </c>
      <c r="O232" s="15">
        <v>0</v>
      </c>
      <c r="P232" s="15">
        <v>0</v>
      </c>
      <c r="Q232" s="15"/>
      <c r="R232" s="16">
        <v>0</v>
      </c>
      <c r="S232" s="15">
        <v>0</v>
      </c>
      <c r="T232" s="16">
        <f>+N232+O232+P232+R232+S232</f>
        <v>1</v>
      </c>
      <c r="U232" s="17" t="s">
        <v>496</v>
      </c>
    </row>
    <row r="233" spans="1:21" x14ac:dyDescent="0.25">
      <c r="A233" s="7" t="s">
        <v>494</v>
      </c>
      <c r="B233" s="7" t="s">
        <v>521</v>
      </c>
      <c r="C233" s="7" t="s">
        <v>79</v>
      </c>
      <c r="D233" s="7" t="s">
        <v>289</v>
      </c>
      <c r="E233" s="8" t="s">
        <v>522</v>
      </c>
      <c r="F233" s="7" t="s">
        <v>524</v>
      </c>
      <c r="G233" s="7" t="s">
        <v>39</v>
      </c>
      <c r="H233" s="9">
        <v>2900</v>
      </c>
      <c r="I233" s="56">
        <f t="shared" si="12"/>
        <v>21.75</v>
      </c>
      <c r="J233" s="11">
        <f t="shared" si="15"/>
        <v>2921.75</v>
      </c>
      <c r="K233" s="53">
        <f t="shared" si="13"/>
        <v>3074</v>
      </c>
      <c r="L233" s="13">
        <f t="shared" si="14"/>
        <v>122.25</v>
      </c>
      <c r="M233" s="10">
        <v>30</v>
      </c>
      <c r="N233" s="15">
        <v>0</v>
      </c>
      <c r="O233" s="15">
        <v>0</v>
      </c>
      <c r="P233" s="15">
        <v>0</v>
      </c>
      <c r="Q233" s="15"/>
      <c r="R233" s="16">
        <v>0</v>
      </c>
      <c r="S233" s="15">
        <v>0</v>
      </c>
      <c r="T233" s="16">
        <f>+N233+O233+P233+R233+S233</f>
        <v>0</v>
      </c>
      <c r="U233" s="17" t="s">
        <v>496</v>
      </c>
    </row>
    <row r="234" spans="1:21" x14ac:dyDescent="0.25">
      <c r="A234" s="7" t="s">
        <v>494</v>
      </c>
      <c r="B234" s="7" t="s">
        <v>521</v>
      </c>
      <c r="C234" s="7" t="s">
        <v>79</v>
      </c>
      <c r="D234" s="7" t="s">
        <v>525</v>
      </c>
      <c r="E234" s="8" t="s">
        <v>526</v>
      </c>
      <c r="F234" s="7" t="s">
        <v>527</v>
      </c>
      <c r="G234" s="7" t="s">
        <v>39</v>
      </c>
      <c r="H234" s="9">
        <v>7700</v>
      </c>
      <c r="I234" s="56">
        <f t="shared" si="12"/>
        <v>57.75</v>
      </c>
      <c r="J234" s="11">
        <f t="shared" si="15"/>
        <v>7757.75</v>
      </c>
      <c r="K234" s="53">
        <f t="shared" si="13"/>
        <v>8162</v>
      </c>
      <c r="L234" s="13">
        <f t="shared" si="14"/>
        <v>354.25</v>
      </c>
      <c r="M234" s="10">
        <v>50</v>
      </c>
      <c r="N234" s="15">
        <v>0</v>
      </c>
      <c r="O234" s="15">
        <v>0</v>
      </c>
      <c r="P234" s="15">
        <v>0</v>
      </c>
      <c r="Q234" s="15"/>
      <c r="R234" s="16">
        <v>0</v>
      </c>
      <c r="S234" s="15">
        <v>1</v>
      </c>
      <c r="T234" s="16">
        <f>+N234+O234+P234+R234+S234</f>
        <v>1</v>
      </c>
      <c r="U234" s="17" t="s">
        <v>496</v>
      </c>
    </row>
    <row r="235" spans="1:21" x14ac:dyDescent="0.25">
      <c r="A235" s="7" t="s">
        <v>494</v>
      </c>
      <c r="B235" s="7" t="s">
        <v>528</v>
      </c>
      <c r="C235" s="7"/>
      <c r="D235" s="7" t="s">
        <v>529</v>
      </c>
      <c r="E235" s="8" t="s">
        <v>522</v>
      </c>
      <c r="F235" s="7" t="s">
        <v>530</v>
      </c>
      <c r="G235" s="7" t="s">
        <v>57</v>
      </c>
      <c r="H235" s="9">
        <v>5000</v>
      </c>
      <c r="I235" s="56">
        <f t="shared" si="12"/>
        <v>37.5</v>
      </c>
      <c r="J235" s="11">
        <f t="shared" si="15"/>
        <v>5037.5</v>
      </c>
      <c r="K235" s="53">
        <f t="shared" si="13"/>
        <v>5300</v>
      </c>
      <c r="L235" s="13">
        <f t="shared" si="14"/>
        <v>212.5</v>
      </c>
      <c r="M235" s="10">
        <v>50</v>
      </c>
      <c r="N235" s="15">
        <v>0</v>
      </c>
      <c r="O235" s="15">
        <v>0</v>
      </c>
      <c r="P235" s="15">
        <v>0</v>
      </c>
      <c r="Q235" s="15"/>
      <c r="R235" s="16">
        <v>0</v>
      </c>
      <c r="S235" s="15">
        <v>1</v>
      </c>
      <c r="T235" s="16">
        <f>+N235+O235+P235+R235+S235</f>
        <v>1</v>
      </c>
      <c r="U235" s="17" t="s">
        <v>496</v>
      </c>
    </row>
    <row r="236" spans="1:21" x14ac:dyDescent="0.25">
      <c r="A236" s="7" t="s">
        <v>531</v>
      </c>
      <c r="B236" s="7" t="s">
        <v>374</v>
      </c>
      <c r="C236" s="7" t="s">
        <v>88</v>
      </c>
      <c r="D236" s="7" t="s">
        <v>532</v>
      </c>
      <c r="E236" s="8" t="s">
        <v>533</v>
      </c>
      <c r="F236" s="7" t="s">
        <v>534</v>
      </c>
      <c r="G236" s="7" t="s">
        <v>24</v>
      </c>
      <c r="H236" s="9">
        <v>1200</v>
      </c>
      <c r="I236" s="56">
        <f t="shared" si="12"/>
        <v>9</v>
      </c>
      <c r="J236" s="11">
        <f t="shared" si="15"/>
        <v>1209</v>
      </c>
      <c r="K236" s="53">
        <f t="shared" si="13"/>
        <v>1272</v>
      </c>
      <c r="L236" s="13">
        <f t="shared" si="14"/>
        <v>43</v>
      </c>
      <c r="M236" s="10">
        <v>20</v>
      </c>
      <c r="N236" s="15">
        <v>0</v>
      </c>
      <c r="O236" s="15">
        <v>0</v>
      </c>
      <c r="P236" s="15">
        <v>0</v>
      </c>
      <c r="Q236" s="15"/>
      <c r="R236" s="16">
        <v>0</v>
      </c>
      <c r="S236" s="15">
        <v>30</v>
      </c>
      <c r="T236" s="16">
        <f>+N236+O236+P236+R236+S236</f>
        <v>30</v>
      </c>
      <c r="U236" s="17" t="s">
        <v>190</v>
      </c>
    </row>
    <row r="237" spans="1:21" x14ac:dyDescent="0.25">
      <c r="A237" s="7" t="s">
        <v>531</v>
      </c>
      <c r="B237" s="7" t="s">
        <v>87</v>
      </c>
      <c r="C237" s="7" t="s">
        <v>92</v>
      </c>
      <c r="D237" s="7" t="s">
        <v>535</v>
      </c>
      <c r="E237" s="8" t="s">
        <v>533</v>
      </c>
      <c r="F237" s="7" t="s">
        <v>536</v>
      </c>
      <c r="G237" s="7" t="s">
        <v>57</v>
      </c>
      <c r="H237" s="9">
        <v>2200</v>
      </c>
      <c r="I237" s="56">
        <f t="shared" si="12"/>
        <v>16.5</v>
      </c>
      <c r="J237" s="11">
        <f t="shared" si="15"/>
        <v>2216.5</v>
      </c>
      <c r="K237" s="53">
        <f t="shared" si="13"/>
        <v>2332</v>
      </c>
      <c r="L237" s="13">
        <f t="shared" si="14"/>
        <v>95.5</v>
      </c>
      <c r="M237" s="10">
        <v>20</v>
      </c>
      <c r="N237" s="15">
        <v>0</v>
      </c>
      <c r="O237" s="15">
        <v>0</v>
      </c>
      <c r="P237" s="15">
        <v>0</v>
      </c>
      <c r="Q237" s="15"/>
      <c r="R237" s="16">
        <v>0</v>
      </c>
      <c r="S237" s="15">
        <v>30</v>
      </c>
      <c r="T237" s="16">
        <f>+N237+O237+P237+R237+S237</f>
        <v>30</v>
      </c>
      <c r="U237" s="17" t="s">
        <v>190</v>
      </c>
    </row>
    <row r="238" spans="1:21" x14ac:dyDescent="0.25">
      <c r="A238" s="7" t="s">
        <v>531</v>
      </c>
      <c r="B238" s="7" t="s">
        <v>78</v>
      </c>
      <c r="C238" s="7" t="s">
        <v>83</v>
      </c>
      <c r="D238" s="7" t="s">
        <v>486</v>
      </c>
      <c r="E238" s="8" t="s">
        <v>85</v>
      </c>
      <c r="F238" s="7" t="s">
        <v>537</v>
      </c>
      <c r="G238" s="7" t="s">
        <v>129</v>
      </c>
      <c r="H238" s="9">
        <v>1950</v>
      </c>
      <c r="I238" s="56">
        <f t="shared" si="12"/>
        <v>14.625</v>
      </c>
      <c r="J238" s="11">
        <f t="shared" si="15"/>
        <v>1964.625</v>
      </c>
      <c r="K238" s="53">
        <f t="shared" si="13"/>
        <v>2067</v>
      </c>
      <c r="L238" s="13">
        <f t="shared" si="14"/>
        <v>72.375</v>
      </c>
      <c r="M238" s="10">
        <v>30</v>
      </c>
      <c r="N238" s="15">
        <v>1</v>
      </c>
      <c r="O238" s="15">
        <v>0</v>
      </c>
      <c r="P238" s="15">
        <v>1</v>
      </c>
      <c r="Q238" s="15"/>
      <c r="R238" s="16">
        <v>0</v>
      </c>
      <c r="S238" s="15">
        <v>23</v>
      </c>
      <c r="T238" s="16">
        <f>+N238+O238+P238+R238+S238</f>
        <v>25</v>
      </c>
      <c r="U238" s="17" t="s">
        <v>190</v>
      </c>
    </row>
    <row r="239" spans="1:21" x14ac:dyDescent="0.25">
      <c r="A239" s="18" t="s">
        <v>538</v>
      </c>
      <c r="B239" s="18" t="s">
        <v>78</v>
      </c>
      <c r="C239" s="18" t="s">
        <v>83</v>
      </c>
      <c r="D239" s="18" t="s">
        <v>208</v>
      </c>
      <c r="E239" s="19" t="s">
        <v>85</v>
      </c>
      <c r="F239" s="18" t="s">
        <v>539</v>
      </c>
      <c r="G239" s="18" t="s">
        <v>129</v>
      </c>
      <c r="H239" s="9">
        <v>3000</v>
      </c>
      <c r="I239" s="56">
        <f t="shared" si="12"/>
        <v>22.5</v>
      </c>
      <c r="J239" s="21">
        <f t="shared" si="15"/>
        <v>3022.5</v>
      </c>
      <c r="K239" s="53">
        <f t="shared" si="13"/>
        <v>3180</v>
      </c>
      <c r="L239" s="22">
        <f t="shared" si="14"/>
        <v>127.5</v>
      </c>
      <c r="M239" s="20">
        <v>30</v>
      </c>
      <c r="N239" s="15">
        <v>1</v>
      </c>
      <c r="O239" s="15">
        <v>0</v>
      </c>
      <c r="P239" s="15">
        <v>0</v>
      </c>
      <c r="Q239" s="15"/>
      <c r="R239" s="16">
        <v>0</v>
      </c>
      <c r="S239" s="15">
        <v>4</v>
      </c>
      <c r="T239" s="16">
        <f>+N239+O239+P239+R239+S239</f>
        <v>5</v>
      </c>
      <c r="U239" s="17" t="s">
        <v>190</v>
      </c>
    </row>
    <row r="240" spans="1:21" x14ac:dyDescent="0.25">
      <c r="A240" s="18" t="s">
        <v>538</v>
      </c>
      <c r="B240" s="18" t="s">
        <v>78</v>
      </c>
      <c r="C240" s="18" t="s">
        <v>83</v>
      </c>
      <c r="D240" s="18" t="s">
        <v>289</v>
      </c>
      <c r="E240" s="19" t="s">
        <v>85</v>
      </c>
      <c r="F240" s="18" t="s">
        <v>540</v>
      </c>
      <c r="G240" s="18" t="s">
        <v>129</v>
      </c>
      <c r="H240" s="9">
        <v>3300</v>
      </c>
      <c r="I240" s="56">
        <f t="shared" si="12"/>
        <v>24.75</v>
      </c>
      <c r="J240" s="21">
        <f t="shared" si="15"/>
        <v>3324.75</v>
      </c>
      <c r="K240" s="53">
        <f t="shared" si="13"/>
        <v>3498</v>
      </c>
      <c r="L240" s="22">
        <f t="shared" si="14"/>
        <v>143.25</v>
      </c>
      <c r="M240" s="20">
        <v>30</v>
      </c>
      <c r="N240" s="15">
        <v>0</v>
      </c>
      <c r="O240" s="15">
        <v>0</v>
      </c>
      <c r="P240" s="15">
        <v>1</v>
      </c>
      <c r="Q240" s="15"/>
      <c r="R240" s="16">
        <v>0</v>
      </c>
      <c r="S240" s="15">
        <v>7</v>
      </c>
      <c r="T240" s="16">
        <f>+N240+O240+P240+R240+S240</f>
        <v>8</v>
      </c>
      <c r="U240" s="17" t="s">
        <v>190</v>
      </c>
    </row>
    <row r="241" spans="1:21" x14ac:dyDescent="0.25">
      <c r="A241" s="18" t="s">
        <v>538</v>
      </c>
      <c r="B241" s="18" t="s">
        <v>78</v>
      </c>
      <c r="C241" s="18" t="s">
        <v>83</v>
      </c>
      <c r="D241" s="18" t="s">
        <v>486</v>
      </c>
      <c r="E241" s="19" t="s">
        <v>85</v>
      </c>
      <c r="F241" s="18" t="s">
        <v>541</v>
      </c>
      <c r="G241" s="18" t="s">
        <v>129</v>
      </c>
      <c r="H241" s="9">
        <v>3600</v>
      </c>
      <c r="I241" s="56">
        <f t="shared" si="12"/>
        <v>27</v>
      </c>
      <c r="J241" s="21">
        <f t="shared" si="15"/>
        <v>3627</v>
      </c>
      <c r="K241" s="53">
        <f t="shared" si="13"/>
        <v>3816</v>
      </c>
      <c r="L241" s="22">
        <f t="shared" si="14"/>
        <v>159</v>
      </c>
      <c r="M241" s="20">
        <v>30</v>
      </c>
      <c r="N241" s="15">
        <v>0</v>
      </c>
      <c r="O241" s="15">
        <v>0</v>
      </c>
      <c r="P241" s="15">
        <v>0</v>
      </c>
      <c r="Q241" s="15"/>
      <c r="R241" s="16">
        <v>1</v>
      </c>
      <c r="S241" s="15">
        <v>6</v>
      </c>
      <c r="T241" s="16">
        <f>+N241+O241+P241+R241+S241</f>
        <v>7</v>
      </c>
      <c r="U241" s="17" t="s">
        <v>394</v>
      </c>
    </row>
    <row r="242" spans="1:21" x14ac:dyDescent="0.25">
      <c r="A242" s="18" t="s">
        <v>542</v>
      </c>
      <c r="B242" s="18" t="s">
        <v>87</v>
      </c>
      <c r="C242" s="18" t="s">
        <v>92</v>
      </c>
      <c r="D242" s="18" t="s">
        <v>543</v>
      </c>
      <c r="E242" s="19" t="s">
        <v>94</v>
      </c>
      <c r="F242" s="18" t="s">
        <v>544</v>
      </c>
      <c r="G242" s="18" t="s">
        <v>57</v>
      </c>
      <c r="H242" s="9">
        <v>1900</v>
      </c>
      <c r="I242" s="56">
        <f t="shared" si="12"/>
        <v>14.25</v>
      </c>
      <c r="J242" s="21">
        <f t="shared" si="15"/>
        <v>1914.25</v>
      </c>
      <c r="K242" s="53">
        <f t="shared" si="13"/>
        <v>2014</v>
      </c>
      <c r="L242" s="22">
        <f t="shared" si="14"/>
        <v>69.75</v>
      </c>
      <c r="M242" s="20">
        <v>30</v>
      </c>
      <c r="N242" s="15">
        <v>1</v>
      </c>
      <c r="O242" s="15">
        <v>1</v>
      </c>
      <c r="P242" s="15">
        <v>1</v>
      </c>
      <c r="Q242" s="15"/>
      <c r="R242" s="16">
        <v>0</v>
      </c>
      <c r="S242" s="15">
        <v>9</v>
      </c>
      <c r="T242" s="16">
        <f>+N242+O242+P242+R242+S242</f>
        <v>12</v>
      </c>
      <c r="U242" s="17" t="s">
        <v>185</v>
      </c>
    </row>
    <row r="243" spans="1:21" x14ac:dyDescent="0.25">
      <c r="A243" s="7" t="s">
        <v>542</v>
      </c>
      <c r="B243" s="7" t="s">
        <v>87</v>
      </c>
      <c r="C243" s="7" t="s">
        <v>92</v>
      </c>
      <c r="D243" s="7" t="s">
        <v>545</v>
      </c>
      <c r="E243" s="8" t="s">
        <v>94</v>
      </c>
      <c r="F243" s="7" t="s">
        <v>546</v>
      </c>
      <c r="G243" s="7" t="s">
        <v>57</v>
      </c>
      <c r="H243" s="9">
        <v>1700</v>
      </c>
      <c r="I243" s="56">
        <f t="shared" si="12"/>
        <v>12.75</v>
      </c>
      <c r="J243" s="11">
        <f t="shared" si="15"/>
        <v>1712.75</v>
      </c>
      <c r="K243" s="53">
        <f t="shared" si="13"/>
        <v>1802</v>
      </c>
      <c r="L243" s="13">
        <f t="shared" si="14"/>
        <v>59.25</v>
      </c>
      <c r="M243" s="10">
        <v>30</v>
      </c>
      <c r="N243" s="15">
        <v>1</v>
      </c>
      <c r="O243" s="15">
        <v>1</v>
      </c>
      <c r="P243" s="15">
        <v>1</v>
      </c>
      <c r="Q243" s="15"/>
      <c r="R243" s="16">
        <v>0</v>
      </c>
      <c r="S243" s="15">
        <v>9</v>
      </c>
      <c r="T243" s="16">
        <f>+N243+O243+P243+R243+S243</f>
        <v>12</v>
      </c>
      <c r="U243" s="17" t="s">
        <v>185</v>
      </c>
    </row>
    <row r="244" spans="1:21" x14ac:dyDescent="0.25">
      <c r="A244" s="7" t="s">
        <v>542</v>
      </c>
      <c r="B244" s="7" t="s">
        <v>87</v>
      </c>
      <c r="C244" s="7" t="s">
        <v>92</v>
      </c>
      <c r="D244" s="7"/>
      <c r="E244" s="8" t="s">
        <v>94</v>
      </c>
      <c r="F244" s="7" t="s">
        <v>547</v>
      </c>
      <c r="G244" s="7" t="s">
        <v>57</v>
      </c>
      <c r="H244" s="9">
        <v>2040</v>
      </c>
      <c r="I244" s="56">
        <f t="shared" si="12"/>
        <v>15.299999999999999</v>
      </c>
      <c r="J244" s="11">
        <f t="shared" si="15"/>
        <v>2055.3000000000002</v>
      </c>
      <c r="K244" s="53">
        <f t="shared" si="13"/>
        <v>2162.4</v>
      </c>
      <c r="L244" s="13">
        <f t="shared" si="14"/>
        <v>77.099999999999909</v>
      </c>
      <c r="M244" s="10">
        <v>30</v>
      </c>
      <c r="N244" s="15">
        <v>0</v>
      </c>
      <c r="O244" s="15">
        <v>1</v>
      </c>
      <c r="P244" s="15">
        <v>1</v>
      </c>
      <c r="Q244" s="15"/>
      <c r="R244" s="16">
        <v>0</v>
      </c>
      <c r="S244" s="15">
        <v>5</v>
      </c>
      <c r="T244" s="16">
        <f>+N244+O244+P244+R244+S244</f>
        <v>7</v>
      </c>
      <c r="U244" s="17" t="s">
        <v>185</v>
      </c>
    </row>
    <row r="245" spans="1:21" x14ac:dyDescent="0.25">
      <c r="A245" s="18" t="s">
        <v>542</v>
      </c>
      <c r="B245" s="18" t="s">
        <v>87</v>
      </c>
      <c r="C245" s="18" t="s">
        <v>92</v>
      </c>
      <c r="D245" s="18" t="s">
        <v>548</v>
      </c>
      <c r="E245" s="19" t="s">
        <v>94</v>
      </c>
      <c r="F245" s="18" t="s">
        <v>549</v>
      </c>
      <c r="G245" s="18" t="s">
        <v>57</v>
      </c>
      <c r="H245" s="9">
        <v>2350</v>
      </c>
      <c r="I245" s="56">
        <f t="shared" si="12"/>
        <v>17.625</v>
      </c>
      <c r="J245" s="21">
        <f t="shared" si="15"/>
        <v>2367.625</v>
      </c>
      <c r="K245" s="53">
        <f t="shared" si="13"/>
        <v>2491</v>
      </c>
      <c r="L245" s="22">
        <f t="shared" si="14"/>
        <v>93.375</v>
      </c>
      <c r="M245" s="20">
        <v>30</v>
      </c>
      <c r="N245" s="15">
        <v>0</v>
      </c>
      <c r="O245" s="15">
        <v>1</v>
      </c>
      <c r="P245" s="15">
        <v>1</v>
      </c>
      <c r="Q245" s="15"/>
      <c r="R245" s="16">
        <v>0</v>
      </c>
      <c r="S245" s="15">
        <v>2</v>
      </c>
      <c r="T245" s="16">
        <f>+N245+O245+P245+R245+S245</f>
        <v>4</v>
      </c>
      <c r="U245" s="17" t="s">
        <v>185</v>
      </c>
    </row>
    <row r="246" spans="1:21" x14ac:dyDescent="0.25">
      <c r="A246" s="18" t="s">
        <v>542</v>
      </c>
      <c r="B246" s="18" t="s">
        <v>87</v>
      </c>
      <c r="C246" s="18" t="s">
        <v>92</v>
      </c>
      <c r="D246" s="18" t="s">
        <v>550</v>
      </c>
      <c r="E246" s="19" t="s">
        <v>361</v>
      </c>
      <c r="F246" s="18" t="s">
        <v>551</v>
      </c>
      <c r="G246" s="18" t="s">
        <v>57</v>
      </c>
      <c r="H246" s="9">
        <v>2450</v>
      </c>
      <c r="I246" s="56">
        <f t="shared" si="12"/>
        <v>18.375</v>
      </c>
      <c r="J246" s="21">
        <f t="shared" si="15"/>
        <v>2468.375</v>
      </c>
      <c r="K246" s="53">
        <f t="shared" si="13"/>
        <v>2597</v>
      </c>
      <c r="L246" s="22">
        <f t="shared" si="14"/>
        <v>98.625</v>
      </c>
      <c r="M246" s="20">
        <v>30</v>
      </c>
      <c r="N246" s="15">
        <v>1</v>
      </c>
      <c r="O246" s="15">
        <v>1</v>
      </c>
      <c r="P246" s="15">
        <v>1</v>
      </c>
      <c r="Q246" s="15"/>
      <c r="R246" s="16">
        <v>0</v>
      </c>
      <c r="S246" s="15">
        <v>6</v>
      </c>
      <c r="T246" s="16">
        <f>+N246+O246+P246+R246+S246</f>
        <v>9</v>
      </c>
      <c r="U246" s="17" t="s">
        <v>185</v>
      </c>
    </row>
    <row r="247" spans="1:21" x14ac:dyDescent="0.25">
      <c r="A247" s="18" t="s">
        <v>542</v>
      </c>
      <c r="B247" s="18" t="s">
        <v>87</v>
      </c>
      <c r="C247" s="18" t="s">
        <v>92</v>
      </c>
      <c r="D247" s="18" t="s">
        <v>552</v>
      </c>
      <c r="E247" s="19" t="s">
        <v>97</v>
      </c>
      <c r="F247" s="18" t="s">
        <v>553</v>
      </c>
      <c r="G247" s="18" t="s">
        <v>57</v>
      </c>
      <c r="H247" s="9">
        <v>2950</v>
      </c>
      <c r="I247" s="56">
        <f t="shared" si="12"/>
        <v>22.125</v>
      </c>
      <c r="J247" s="21">
        <f t="shared" si="15"/>
        <v>2972.125</v>
      </c>
      <c r="K247" s="53">
        <f t="shared" si="13"/>
        <v>3127</v>
      </c>
      <c r="L247" s="22">
        <f t="shared" si="14"/>
        <v>124.875</v>
      </c>
      <c r="M247" s="20">
        <v>30</v>
      </c>
      <c r="N247" s="15">
        <v>0</v>
      </c>
      <c r="O247" s="15">
        <v>1</v>
      </c>
      <c r="P247" s="15">
        <v>1</v>
      </c>
      <c r="Q247" s="15"/>
      <c r="R247" s="16">
        <v>0</v>
      </c>
      <c r="S247" s="15">
        <v>7</v>
      </c>
      <c r="T247" s="16">
        <f>+N247+O247+P247+R247+S247</f>
        <v>9</v>
      </c>
      <c r="U247" s="17" t="s">
        <v>185</v>
      </c>
    </row>
    <row r="248" spans="1:21" x14ac:dyDescent="0.25">
      <c r="A248" s="7" t="s">
        <v>542</v>
      </c>
      <c r="B248" s="7" t="s">
        <v>87</v>
      </c>
      <c r="C248" s="7" t="s">
        <v>92</v>
      </c>
      <c r="D248" s="7" t="s">
        <v>65</v>
      </c>
      <c r="E248" s="8" t="s">
        <v>97</v>
      </c>
      <c r="F248" s="7" t="s">
        <v>554</v>
      </c>
      <c r="G248" s="7" t="s">
        <v>57</v>
      </c>
      <c r="H248" s="9">
        <v>4200</v>
      </c>
      <c r="I248" s="56">
        <f t="shared" si="12"/>
        <v>31.5</v>
      </c>
      <c r="J248" s="11">
        <f t="shared" si="15"/>
        <v>4231.5</v>
      </c>
      <c r="K248" s="53">
        <f t="shared" si="13"/>
        <v>4452</v>
      </c>
      <c r="L248" s="13">
        <f t="shared" si="14"/>
        <v>190.5</v>
      </c>
      <c r="M248" s="10">
        <v>30</v>
      </c>
      <c r="N248" s="15">
        <v>0</v>
      </c>
      <c r="O248" s="15">
        <v>1</v>
      </c>
      <c r="P248" s="15">
        <v>1</v>
      </c>
      <c r="Q248" s="15"/>
      <c r="R248" s="16">
        <v>0</v>
      </c>
      <c r="S248" s="15">
        <v>7</v>
      </c>
      <c r="T248" s="16">
        <f>+N248+O248+P248+R248+S248</f>
        <v>9</v>
      </c>
      <c r="U248" s="17" t="s">
        <v>185</v>
      </c>
    </row>
    <row r="249" spans="1:21" x14ac:dyDescent="0.25">
      <c r="A249" s="18" t="s">
        <v>542</v>
      </c>
      <c r="B249" s="18" t="s">
        <v>87</v>
      </c>
      <c r="C249" s="18" t="s">
        <v>92</v>
      </c>
      <c r="D249" s="18" t="s">
        <v>555</v>
      </c>
      <c r="E249" s="19" t="s">
        <v>94</v>
      </c>
      <c r="F249" s="18" t="s">
        <v>556</v>
      </c>
      <c r="G249" s="18" t="s">
        <v>57</v>
      </c>
      <c r="H249" s="9">
        <v>3400</v>
      </c>
      <c r="I249" s="56">
        <f t="shared" si="12"/>
        <v>25.5</v>
      </c>
      <c r="J249" s="21">
        <f t="shared" si="15"/>
        <v>3425.5</v>
      </c>
      <c r="K249" s="53">
        <f t="shared" si="13"/>
        <v>3604</v>
      </c>
      <c r="L249" s="22">
        <f t="shared" si="14"/>
        <v>148.5</v>
      </c>
      <c r="M249" s="20">
        <v>30</v>
      </c>
      <c r="N249" s="15">
        <v>1</v>
      </c>
      <c r="O249" s="15">
        <v>1</v>
      </c>
      <c r="P249" s="15">
        <v>1</v>
      </c>
      <c r="Q249" s="15"/>
      <c r="R249" s="16">
        <v>0</v>
      </c>
      <c r="S249" s="15">
        <v>9</v>
      </c>
      <c r="T249" s="16">
        <f>+N249+O249+P249+R249+S249</f>
        <v>12</v>
      </c>
      <c r="U249" s="17" t="s">
        <v>185</v>
      </c>
    </row>
    <row r="250" spans="1:21" x14ac:dyDescent="0.25">
      <c r="A250" s="18" t="s">
        <v>542</v>
      </c>
      <c r="B250" s="18" t="s">
        <v>87</v>
      </c>
      <c r="C250" s="18" t="s">
        <v>92</v>
      </c>
      <c r="D250" s="18" t="s">
        <v>439</v>
      </c>
      <c r="E250" s="19" t="s">
        <v>94</v>
      </c>
      <c r="F250" s="18" t="s">
        <v>557</v>
      </c>
      <c r="G250" s="18" t="s">
        <v>57</v>
      </c>
      <c r="H250" s="9">
        <v>3600</v>
      </c>
      <c r="I250" s="56">
        <f t="shared" si="12"/>
        <v>27</v>
      </c>
      <c r="J250" s="21">
        <f t="shared" si="15"/>
        <v>3627</v>
      </c>
      <c r="K250" s="53">
        <f t="shared" si="13"/>
        <v>3816</v>
      </c>
      <c r="L250" s="22">
        <f t="shared" si="14"/>
        <v>159</v>
      </c>
      <c r="M250" s="20">
        <v>30</v>
      </c>
      <c r="N250" s="15">
        <v>1</v>
      </c>
      <c r="O250" s="15">
        <v>0</v>
      </c>
      <c r="P250" s="15">
        <v>0</v>
      </c>
      <c r="Q250" s="15"/>
      <c r="R250" s="16">
        <v>0</v>
      </c>
      <c r="S250" s="15">
        <v>5</v>
      </c>
      <c r="T250" s="16">
        <f>+N250+O250+P250+R250+S250</f>
        <v>6</v>
      </c>
      <c r="U250" s="17" t="s">
        <v>185</v>
      </c>
    </row>
    <row r="251" spans="1:21" x14ac:dyDescent="0.25">
      <c r="A251" s="18" t="s">
        <v>542</v>
      </c>
      <c r="B251" s="18" t="s">
        <v>87</v>
      </c>
      <c r="C251" s="18" t="s">
        <v>92</v>
      </c>
      <c r="D251" s="18" t="s">
        <v>558</v>
      </c>
      <c r="E251" s="19" t="s">
        <v>97</v>
      </c>
      <c r="F251" s="18" t="s">
        <v>559</v>
      </c>
      <c r="G251" s="18" t="s">
        <v>57</v>
      </c>
      <c r="H251" s="9">
        <v>3800</v>
      </c>
      <c r="I251" s="56">
        <f t="shared" si="12"/>
        <v>28.5</v>
      </c>
      <c r="J251" s="21">
        <f t="shared" si="15"/>
        <v>3828.5</v>
      </c>
      <c r="K251" s="53">
        <f t="shared" si="13"/>
        <v>4028</v>
      </c>
      <c r="L251" s="22">
        <f t="shared" si="14"/>
        <v>169.5</v>
      </c>
      <c r="M251" s="20">
        <v>30</v>
      </c>
      <c r="N251" s="15">
        <v>0</v>
      </c>
      <c r="O251" s="15">
        <v>1</v>
      </c>
      <c r="P251" s="15">
        <v>1</v>
      </c>
      <c r="Q251" s="15"/>
      <c r="R251" s="16">
        <v>0</v>
      </c>
      <c r="S251" s="15">
        <v>4</v>
      </c>
      <c r="T251" s="16">
        <f>+N251+O251+P251+R251+S251</f>
        <v>6</v>
      </c>
      <c r="U251" s="17" t="s">
        <v>185</v>
      </c>
    </row>
    <row r="252" spans="1:21" x14ac:dyDescent="0.25">
      <c r="A252" s="7" t="s">
        <v>542</v>
      </c>
      <c r="B252" s="7" t="s">
        <v>87</v>
      </c>
      <c r="C252" s="7" t="s">
        <v>92</v>
      </c>
      <c r="D252" s="7" t="s">
        <v>560</v>
      </c>
      <c r="E252" s="8" t="s">
        <v>97</v>
      </c>
      <c r="F252" s="7" t="s">
        <v>561</v>
      </c>
      <c r="G252" s="7" t="s">
        <v>57</v>
      </c>
      <c r="H252" s="9">
        <v>4750</v>
      </c>
      <c r="I252" s="56">
        <f t="shared" si="12"/>
        <v>35.625</v>
      </c>
      <c r="J252" s="11">
        <f t="shared" si="15"/>
        <v>4785.625</v>
      </c>
      <c r="K252" s="53">
        <f t="shared" si="13"/>
        <v>5035</v>
      </c>
      <c r="L252" s="13">
        <f t="shared" si="14"/>
        <v>219.375</v>
      </c>
      <c r="M252" s="10">
        <v>30</v>
      </c>
      <c r="N252" s="15">
        <v>0</v>
      </c>
      <c r="O252" s="15">
        <v>1</v>
      </c>
      <c r="P252" s="15">
        <v>1</v>
      </c>
      <c r="Q252" s="15"/>
      <c r="R252" s="16">
        <v>0</v>
      </c>
      <c r="S252" s="15">
        <v>4</v>
      </c>
      <c r="T252" s="16">
        <f>+N252+O252+P252+R252+S252</f>
        <v>6</v>
      </c>
      <c r="U252" s="17" t="s">
        <v>185</v>
      </c>
    </row>
    <row r="253" spans="1:21" x14ac:dyDescent="0.25">
      <c r="A253" s="18" t="s">
        <v>542</v>
      </c>
      <c r="B253" s="18" t="s">
        <v>87</v>
      </c>
      <c r="C253" s="18" t="s">
        <v>92</v>
      </c>
      <c r="D253" s="18" t="s">
        <v>562</v>
      </c>
      <c r="E253" s="19" t="s">
        <v>97</v>
      </c>
      <c r="F253" s="18" t="s">
        <v>563</v>
      </c>
      <c r="G253" s="18" t="s">
        <v>57</v>
      </c>
      <c r="H253" s="9">
        <v>4200</v>
      </c>
      <c r="I253" s="56">
        <f t="shared" si="12"/>
        <v>31.5</v>
      </c>
      <c r="J253" s="21">
        <f t="shared" si="15"/>
        <v>4231.5</v>
      </c>
      <c r="K253" s="53">
        <f t="shared" si="13"/>
        <v>4452</v>
      </c>
      <c r="L253" s="22">
        <f t="shared" si="14"/>
        <v>190.5</v>
      </c>
      <c r="M253" s="20">
        <v>30</v>
      </c>
      <c r="N253" s="15">
        <v>0</v>
      </c>
      <c r="O253" s="15">
        <v>1</v>
      </c>
      <c r="P253" s="15">
        <v>1</v>
      </c>
      <c r="Q253" s="15"/>
      <c r="R253" s="16">
        <v>0</v>
      </c>
      <c r="S253" s="15">
        <v>7</v>
      </c>
      <c r="T253" s="16">
        <f>+N253+O253+P253+R253+S253</f>
        <v>9</v>
      </c>
      <c r="U253" s="17" t="s">
        <v>185</v>
      </c>
    </row>
    <row r="254" spans="1:21" x14ac:dyDescent="0.25">
      <c r="A254" s="18" t="s">
        <v>542</v>
      </c>
      <c r="B254" s="18" t="s">
        <v>87</v>
      </c>
      <c r="C254" s="18" t="s">
        <v>92</v>
      </c>
      <c r="D254" s="18" t="s">
        <v>564</v>
      </c>
      <c r="E254" s="19" t="s">
        <v>392</v>
      </c>
      <c r="F254" s="18" t="s">
        <v>565</v>
      </c>
      <c r="G254" s="18" t="s">
        <v>57</v>
      </c>
      <c r="H254" s="9">
        <v>5250</v>
      </c>
      <c r="I254" s="56">
        <f t="shared" si="12"/>
        <v>39.375</v>
      </c>
      <c r="J254" s="21">
        <f t="shared" si="15"/>
        <v>5289.375</v>
      </c>
      <c r="K254" s="53">
        <f t="shared" si="13"/>
        <v>5565</v>
      </c>
      <c r="L254" s="22">
        <f t="shared" si="14"/>
        <v>225.625</v>
      </c>
      <c r="M254" s="20">
        <v>50</v>
      </c>
      <c r="N254" s="15">
        <v>1</v>
      </c>
      <c r="O254" s="15">
        <v>1</v>
      </c>
      <c r="P254" s="15">
        <v>1</v>
      </c>
      <c r="Q254" s="15"/>
      <c r="R254" s="16">
        <v>0</v>
      </c>
      <c r="S254" s="15">
        <v>14</v>
      </c>
      <c r="T254" s="16">
        <f>+N254+O254+P254+R254+S254</f>
        <v>17</v>
      </c>
      <c r="U254" s="17" t="s">
        <v>185</v>
      </c>
    </row>
    <row r="255" spans="1:21" x14ac:dyDescent="0.25">
      <c r="A255" s="7" t="s">
        <v>542</v>
      </c>
      <c r="B255" s="7" t="s">
        <v>87</v>
      </c>
      <c r="C255" s="7" t="s">
        <v>92</v>
      </c>
      <c r="D255" s="7" t="s">
        <v>566</v>
      </c>
      <c r="E255" s="8" t="s">
        <v>567</v>
      </c>
      <c r="F255" s="7" t="s">
        <v>568</v>
      </c>
      <c r="G255" s="7" t="s">
        <v>57</v>
      </c>
      <c r="H255" s="9">
        <v>6003</v>
      </c>
      <c r="I255" s="56">
        <f t="shared" si="12"/>
        <v>45.022500000000001</v>
      </c>
      <c r="J255" s="11">
        <f t="shared" si="15"/>
        <v>6048.0225</v>
      </c>
      <c r="K255" s="53">
        <f t="shared" si="13"/>
        <v>6363.18</v>
      </c>
      <c r="L255" s="13">
        <f t="shared" si="14"/>
        <v>215.15750000000025</v>
      </c>
      <c r="M255" s="10">
        <v>100</v>
      </c>
      <c r="N255" s="15">
        <v>0</v>
      </c>
      <c r="O255" s="15">
        <v>1</v>
      </c>
      <c r="P255" s="15">
        <v>1</v>
      </c>
      <c r="Q255" s="15"/>
      <c r="R255" s="16">
        <v>0</v>
      </c>
      <c r="S255" s="15">
        <v>6</v>
      </c>
      <c r="T255" s="16">
        <f>+N255+O255+P255+R255+S255</f>
        <v>8</v>
      </c>
      <c r="U255" s="17" t="s">
        <v>185</v>
      </c>
    </row>
    <row r="256" spans="1:21" x14ac:dyDescent="0.25">
      <c r="A256" s="18" t="s">
        <v>542</v>
      </c>
      <c r="B256" s="18" t="s">
        <v>63</v>
      </c>
      <c r="C256" s="18" t="s">
        <v>64</v>
      </c>
      <c r="D256" s="18" t="s">
        <v>569</v>
      </c>
      <c r="E256" s="19" t="s">
        <v>442</v>
      </c>
      <c r="F256" s="18" t="s">
        <v>570</v>
      </c>
      <c r="G256" s="18" t="s">
        <v>39</v>
      </c>
      <c r="H256" s="9">
        <v>2880</v>
      </c>
      <c r="I256" s="56">
        <f t="shared" si="12"/>
        <v>21.599999999999998</v>
      </c>
      <c r="J256" s="21">
        <f t="shared" si="15"/>
        <v>2901.6</v>
      </c>
      <c r="K256" s="53">
        <f t="shared" si="13"/>
        <v>3052.8</v>
      </c>
      <c r="L256" s="22">
        <f t="shared" si="14"/>
        <v>121.20000000000027</v>
      </c>
      <c r="M256" s="16">
        <v>30</v>
      </c>
      <c r="N256" s="15">
        <v>1</v>
      </c>
      <c r="O256" s="15">
        <v>0</v>
      </c>
      <c r="P256" s="15">
        <v>0</v>
      </c>
      <c r="Q256" s="15"/>
      <c r="R256" s="16">
        <v>0</v>
      </c>
      <c r="S256" s="15">
        <v>3</v>
      </c>
      <c r="T256" s="16">
        <f>+N256+O256+P256+R256+S256</f>
        <v>4</v>
      </c>
      <c r="U256" s="38" t="s">
        <v>68</v>
      </c>
    </row>
    <row r="257" spans="1:21" x14ac:dyDescent="0.25">
      <c r="A257" s="18" t="s">
        <v>542</v>
      </c>
      <c r="B257" s="18" t="s">
        <v>63</v>
      </c>
      <c r="C257" s="18" t="s">
        <v>64</v>
      </c>
      <c r="D257" s="18" t="s">
        <v>216</v>
      </c>
      <c r="E257" s="19" t="s">
        <v>442</v>
      </c>
      <c r="F257" s="18" t="s">
        <v>571</v>
      </c>
      <c r="G257" s="18" t="s">
        <v>39</v>
      </c>
      <c r="H257" s="9">
        <v>3300</v>
      </c>
      <c r="I257" s="56">
        <f t="shared" si="12"/>
        <v>24.75</v>
      </c>
      <c r="J257" s="21">
        <f t="shared" si="15"/>
        <v>3324.75</v>
      </c>
      <c r="K257" s="53">
        <f t="shared" si="13"/>
        <v>3498</v>
      </c>
      <c r="L257" s="22">
        <f t="shared" si="14"/>
        <v>143.25</v>
      </c>
      <c r="M257" s="16">
        <v>30</v>
      </c>
      <c r="N257" s="15">
        <v>0</v>
      </c>
      <c r="O257" s="15">
        <v>0</v>
      </c>
      <c r="P257" s="15">
        <v>0</v>
      </c>
      <c r="Q257" s="15"/>
      <c r="R257" s="16">
        <v>0</v>
      </c>
      <c r="S257" s="15">
        <v>3</v>
      </c>
      <c r="T257" s="16">
        <f>+N257+O257+P257+R257+S257</f>
        <v>3</v>
      </c>
      <c r="U257" s="38" t="s">
        <v>68</v>
      </c>
    </row>
    <row r="258" spans="1:21" x14ac:dyDescent="0.25">
      <c r="A258" s="18" t="s">
        <v>572</v>
      </c>
      <c r="B258" s="18" t="s">
        <v>19</v>
      </c>
      <c r="C258" s="18" t="s">
        <v>20</v>
      </c>
      <c r="D258" s="18" t="s">
        <v>146</v>
      </c>
      <c r="E258" s="19" t="s">
        <v>144</v>
      </c>
      <c r="F258" s="40">
        <v>610001042</v>
      </c>
      <c r="G258" s="18" t="s">
        <v>389</v>
      </c>
      <c r="H258" s="9">
        <v>4610</v>
      </c>
      <c r="I258" s="56">
        <f t="shared" si="12"/>
        <v>34.574999999999996</v>
      </c>
      <c r="J258" s="21">
        <f t="shared" si="15"/>
        <v>4644.5749999999998</v>
      </c>
      <c r="K258" s="53">
        <f t="shared" si="13"/>
        <v>4886.6000000000004</v>
      </c>
      <c r="L258" s="22">
        <f t="shared" si="14"/>
        <v>192.02500000000055</v>
      </c>
      <c r="M258" s="16">
        <v>50</v>
      </c>
      <c r="N258" s="15">
        <v>0</v>
      </c>
      <c r="O258" s="15">
        <v>0</v>
      </c>
      <c r="P258" s="15">
        <v>0</v>
      </c>
      <c r="Q258" s="15"/>
      <c r="R258" s="16">
        <v>0</v>
      </c>
      <c r="S258" s="15">
        <v>1</v>
      </c>
      <c r="T258" s="16">
        <f>+N258+O258+P258+R258+S258</f>
        <v>1</v>
      </c>
      <c r="U258" s="38" t="s">
        <v>394</v>
      </c>
    </row>
    <row r="259" spans="1:21" x14ac:dyDescent="0.25">
      <c r="A259" s="18" t="s">
        <v>572</v>
      </c>
      <c r="B259" s="18" t="s">
        <v>19</v>
      </c>
      <c r="C259" s="18" t="s">
        <v>20</v>
      </c>
      <c r="D259" s="18" t="s">
        <v>146</v>
      </c>
      <c r="E259" s="19" t="s">
        <v>144</v>
      </c>
      <c r="F259" s="40">
        <v>610000950</v>
      </c>
      <c r="G259" s="18" t="s">
        <v>389</v>
      </c>
      <c r="H259" s="9">
        <v>4610</v>
      </c>
      <c r="I259" s="56">
        <f t="shared" ref="I259:I322" si="16">+(H259*0.75%)</f>
        <v>34.574999999999996</v>
      </c>
      <c r="J259" s="21">
        <f t="shared" si="15"/>
        <v>4644.5749999999998</v>
      </c>
      <c r="K259" s="53">
        <f t="shared" ref="K259:K322" si="17">+((H259*6%)+H259)</f>
        <v>4886.6000000000004</v>
      </c>
      <c r="L259" s="22">
        <f t="shared" si="14"/>
        <v>192.02500000000055</v>
      </c>
      <c r="M259" s="16">
        <v>50</v>
      </c>
      <c r="N259" s="15">
        <v>0</v>
      </c>
      <c r="O259" s="15">
        <v>0</v>
      </c>
      <c r="P259" s="15">
        <v>0</v>
      </c>
      <c r="Q259" s="15"/>
      <c r="R259" s="16">
        <v>0</v>
      </c>
      <c r="S259" s="15">
        <v>1</v>
      </c>
      <c r="T259" s="16">
        <f>+N259+O259+P259+R259+S259</f>
        <v>1</v>
      </c>
      <c r="U259" s="38" t="s">
        <v>394</v>
      </c>
    </row>
    <row r="260" spans="1:21" x14ac:dyDescent="0.25">
      <c r="A260" s="18" t="s">
        <v>573</v>
      </c>
      <c r="B260" s="18" t="s">
        <v>87</v>
      </c>
      <c r="C260" s="18" t="s">
        <v>92</v>
      </c>
      <c r="D260" s="18"/>
      <c r="E260" s="19" t="s">
        <v>574</v>
      </c>
      <c r="F260" s="18" t="s">
        <v>575</v>
      </c>
      <c r="G260" s="18" t="s">
        <v>24</v>
      </c>
      <c r="H260" s="9">
        <v>3300</v>
      </c>
      <c r="I260" s="56">
        <f t="shared" si="16"/>
        <v>24.75</v>
      </c>
      <c r="J260" s="21">
        <f t="shared" si="15"/>
        <v>3324.75</v>
      </c>
      <c r="K260" s="53">
        <f t="shared" si="17"/>
        <v>3498</v>
      </c>
      <c r="L260" s="22">
        <f t="shared" si="14"/>
        <v>123.25</v>
      </c>
      <c r="M260" s="16">
        <v>50</v>
      </c>
      <c r="N260" s="15">
        <v>0</v>
      </c>
      <c r="O260" s="15">
        <v>1</v>
      </c>
      <c r="P260" s="15">
        <v>0</v>
      </c>
      <c r="Q260" s="15"/>
      <c r="R260" s="16">
        <v>0</v>
      </c>
      <c r="S260" s="15">
        <v>0</v>
      </c>
      <c r="T260" s="16">
        <f>+N260+O260+P260+R260+S260</f>
        <v>1</v>
      </c>
      <c r="U260" s="38" t="s">
        <v>185</v>
      </c>
    </row>
    <row r="261" spans="1:21" x14ac:dyDescent="0.25">
      <c r="A261" s="18" t="s">
        <v>225</v>
      </c>
      <c r="B261" s="18" t="s">
        <v>87</v>
      </c>
      <c r="C261" s="18" t="s">
        <v>92</v>
      </c>
      <c r="D261" s="18" t="s">
        <v>89</v>
      </c>
      <c r="E261" s="19" t="s">
        <v>97</v>
      </c>
      <c r="F261" s="18" t="s">
        <v>576</v>
      </c>
      <c r="G261" s="18" t="s">
        <v>57</v>
      </c>
      <c r="H261" s="9">
        <v>4100</v>
      </c>
      <c r="I261" s="56">
        <f t="shared" si="16"/>
        <v>30.75</v>
      </c>
      <c r="J261" s="21">
        <f>+H261+I261</f>
        <v>4130.75</v>
      </c>
      <c r="K261" s="53">
        <f t="shared" si="17"/>
        <v>4346</v>
      </c>
      <c r="L261" s="22">
        <f t="shared" si="14"/>
        <v>185.25</v>
      </c>
      <c r="M261" s="16">
        <v>30</v>
      </c>
      <c r="N261" s="15">
        <v>0</v>
      </c>
      <c r="O261" s="15">
        <v>0</v>
      </c>
      <c r="P261" s="15">
        <v>0</v>
      </c>
      <c r="Q261" s="15"/>
      <c r="R261" s="16">
        <v>0</v>
      </c>
      <c r="S261" s="15">
        <v>1</v>
      </c>
      <c r="T261" s="16">
        <f>+N261+O261+P261+R261+S261</f>
        <v>1</v>
      </c>
      <c r="U261" s="38" t="s">
        <v>496</v>
      </c>
    </row>
    <row r="262" spans="1:21" x14ac:dyDescent="0.25">
      <c r="A262" s="18" t="s">
        <v>225</v>
      </c>
      <c r="B262" s="18" t="s">
        <v>87</v>
      </c>
      <c r="C262" s="18" t="s">
        <v>92</v>
      </c>
      <c r="D262" s="18" t="s">
        <v>322</v>
      </c>
      <c r="E262" s="19" t="s">
        <v>97</v>
      </c>
      <c r="F262" s="18" t="s">
        <v>577</v>
      </c>
      <c r="G262" s="18" t="s">
        <v>57</v>
      </c>
      <c r="H262" s="9">
        <v>3900</v>
      </c>
      <c r="I262" s="56">
        <f t="shared" si="16"/>
        <v>29.25</v>
      </c>
      <c r="J262" s="21">
        <f t="shared" si="15"/>
        <v>3929.25</v>
      </c>
      <c r="K262" s="53">
        <f t="shared" si="17"/>
        <v>4134</v>
      </c>
      <c r="L262" s="22">
        <f t="shared" si="14"/>
        <v>174.75</v>
      </c>
      <c r="M262" s="16">
        <v>30</v>
      </c>
      <c r="N262" s="15">
        <v>0</v>
      </c>
      <c r="O262" s="15">
        <v>0</v>
      </c>
      <c r="P262" s="15">
        <v>0</v>
      </c>
      <c r="Q262" s="15"/>
      <c r="R262" s="16">
        <v>0</v>
      </c>
      <c r="S262" s="15">
        <v>1</v>
      </c>
      <c r="T262" s="16">
        <f>+N262+O262+P262+R262+S262</f>
        <v>1</v>
      </c>
      <c r="U262" s="38" t="s">
        <v>496</v>
      </c>
    </row>
    <row r="263" spans="1:21" x14ac:dyDescent="0.25">
      <c r="A263" s="7" t="s">
        <v>225</v>
      </c>
      <c r="B263" s="7" t="s">
        <v>87</v>
      </c>
      <c r="C263" s="7" t="s">
        <v>92</v>
      </c>
      <c r="D263" s="7" t="s">
        <v>578</v>
      </c>
      <c r="E263" s="8" t="s">
        <v>97</v>
      </c>
      <c r="F263" s="7" t="s">
        <v>579</v>
      </c>
      <c r="G263" s="7" t="s">
        <v>57</v>
      </c>
      <c r="H263" s="9">
        <v>3600</v>
      </c>
      <c r="I263" s="56">
        <f t="shared" si="16"/>
        <v>27</v>
      </c>
      <c r="J263" s="11">
        <f t="shared" si="15"/>
        <v>3627</v>
      </c>
      <c r="K263" s="53">
        <f t="shared" si="17"/>
        <v>3816</v>
      </c>
      <c r="L263" s="13">
        <f t="shared" si="14"/>
        <v>159</v>
      </c>
      <c r="M263" s="14">
        <v>30</v>
      </c>
      <c r="N263" s="15">
        <v>0</v>
      </c>
      <c r="O263" s="15">
        <v>0</v>
      </c>
      <c r="P263" s="15">
        <v>0</v>
      </c>
      <c r="Q263" s="15"/>
      <c r="R263" s="16">
        <v>0</v>
      </c>
      <c r="S263" s="15">
        <v>5</v>
      </c>
      <c r="T263" s="16">
        <f>+N263+O263+P263+R263+S263</f>
        <v>5</v>
      </c>
      <c r="U263" s="38" t="s">
        <v>496</v>
      </c>
    </row>
    <row r="264" spans="1:21" x14ac:dyDescent="0.25">
      <c r="A264" s="18" t="s">
        <v>580</v>
      </c>
      <c r="B264" s="18" t="s">
        <v>47</v>
      </c>
      <c r="C264" s="18" t="s">
        <v>105</v>
      </c>
      <c r="D264" s="18" t="s">
        <v>284</v>
      </c>
      <c r="E264" s="19" t="s">
        <v>279</v>
      </c>
      <c r="F264" s="18" t="s">
        <v>581</v>
      </c>
      <c r="G264" s="18" t="s">
        <v>24</v>
      </c>
      <c r="H264" s="44">
        <v>1593</v>
      </c>
      <c r="I264" s="56">
        <f t="shared" si="16"/>
        <v>11.9475</v>
      </c>
      <c r="J264" s="21">
        <f t="shared" si="15"/>
        <v>1604.9475</v>
      </c>
      <c r="K264" s="53">
        <f t="shared" si="17"/>
        <v>1688.58</v>
      </c>
      <c r="L264" s="22">
        <f t="shared" si="14"/>
        <v>63.632499999999936</v>
      </c>
      <c r="M264" s="16">
        <v>20</v>
      </c>
      <c r="N264" s="15">
        <v>1</v>
      </c>
      <c r="O264" s="15">
        <v>1</v>
      </c>
      <c r="P264" s="15">
        <v>0</v>
      </c>
      <c r="Q264" s="15"/>
      <c r="R264" s="16">
        <v>0</v>
      </c>
      <c r="S264" s="15">
        <v>0</v>
      </c>
      <c r="T264" s="16">
        <f>+N264+O264+P264+R264+S264</f>
        <v>2</v>
      </c>
      <c r="U264" s="17" t="s">
        <v>582</v>
      </c>
    </row>
    <row r="265" spans="1:21" x14ac:dyDescent="0.25">
      <c r="A265" s="18" t="s">
        <v>580</v>
      </c>
      <c r="B265" s="18" t="s">
        <v>47</v>
      </c>
      <c r="C265" s="18" t="s">
        <v>105</v>
      </c>
      <c r="D265" s="18" t="s">
        <v>583</v>
      </c>
      <c r="E265" s="19" t="s">
        <v>279</v>
      </c>
      <c r="F265" s="18" t="s">
        <v>584</v>
      </c>
      <c r="G265" s="18" t="s">
        <v>24</v>
      </c>
      <c r="H265" s="44">
        <v>2200</v>
      </c>
      <c r="I265" s="56">
        <f t="shared" si="16"/>
        <v>16.5</v>
      </c>
      <c r="J265" s="21">
        <f t="shared" si="15"/>
        <v>2216.5</v>
      </c>
      <c r="K265" s="53">
        <f t="shared" si="17"/>
        <v>2332</v>
      </c>
      <c r="L265" s="22">
        <f t="shared" si="14"/>
        <v>95.5</v>
      </c>
      <c r="M265" s="16">
        <v>20</v>
      </c>
      <c r="N265" s="15">
        <v>0</v>
      </c>
      <c r="O265" s="15">
        <v>0</v>
      </c>
      <c r="P265" s="15">
        <v>0</v>
      </c>
      <c r="Q265" s="15"/>
      <c r="R265" s="16">
        <v>0</v>
      </c>
      <c r="S265" s="15">
        <v>0</v>
      </c>
      <c r="T265" s="16">
        <f>+N265+O265+P265+R265+S265</f>
        <v>0</v>
      </c>
      <c r="U265" s="17" t="s">
        <v>582</v>
      </c>
    </row>
    <row r="266" spans="1:21" x14ac:dyDescent="0.25">
      <c r="A266" s="18" t="s">
        <v>580</v>
      </c>
      <c r="B266" s="18" t="s">
        <v>63</v>
      </c>
      <c r="C266" s="18" t="s">
        <v>64</v>
      </c>
      <c r="D266" s="18" t="s">
        <v>585</v>
      </c>
      <c r="E266" s="19" t="s">
        <v>586</v>
      </c>
      <c r="F266" s="18" t="s">
        <v>587</v>
      </c>
      <c r="G266" s="18" t="s">
        <v>39</v>
      </c>
      <c r="H266" s="9">
        <v>7780</v>
      </c>
      <c r="I266" s="56">
        <f t="shared" si="16"/>
        <v>58.349999999999994</v>
      </c>
      <c r="J266" s="21">
        <f t="shared" si="15"/>
        <v>7838.35</v>
      </c>
      <c r="K266" s="53">
        <f t="shared" si="17"/>
        <v>8246.7999999999993</v>
      </c>
      <c r="L266" s="22">
        <f t="shared" si="14"/>
        <v>378.44999999999891</v>
      </c>
      <c r="M266" s="16">
        <v>30</v>
      </c>
      <c r="N266" s="15">
        <v>0</v>
      </c>
      <c r="O266" s="15">
        <v>0</v>
      </c>
      <c r="P266" s="15">
        <v>0</v>
      </c>
      <c r="Q266" s="15"/>
      <c r="R266" s="16">
        <v>0</v>
      </c>
      <c r="S266" s="15">
        <v>1</v>
      </c>
      <c r="T266" s="16">
        <f>+N266+O266+P266+R266+S266</f>
        <v>1</v>
      </c>
      <c r="U266" s="17" t="s">
        <v>68</v>
      </c>
    </row>
    <row r="267" spans="1:21" x14ac:dyDescent="0.25">
      <c r="A267" s="18" t="s">
        <v>588</v>
      </c>
      <c r="B267" s="18" t="s">
        <v>87</v>
      </c>
      <c r="C267" s="18" t="s">
        <v>92</v>
      </c>
      <c r="D267" s="18" t="s">
        <v>589</v>
      </c>
      <c r="E267" s="19" t="s">
        <v>364</v>
      </c>
      <c r="F267" s="18" t="s">
        <v>590</v>
      </c>
      <c r="G267" s="18" t="s">
        <v>57</v>
      </c>
      <c r="H267" s="9">
        <v>8600</v>
      </c>
      <c r="I267" s="56">
        <f t="shared" si="16"/>
        <v>64.5</v>
      </c>
      <c r="J267" s="21">
        <f t="shared" si="15"/>
        <v>8664.5</v>
      </c>
      <c r="K267" s="53">
        <f t="shared" si="17"/>
        <v>9116</v>
      </c>
      <c r="L267" s="22">
        <f t="shared" ref="L267:L334" si="18">+K267-J267-M267</f>
        <v>401.5</v>
      </c>
      <c r="M267" s="16">
        <v>50</v>
      </c>
      <c r="N267" s="15">
        <v>0</v>
      </c>
      <c r="O267" s="15">
        <v>0</v>
      </c>
      <c r="P267" s="15">
        <v>1</v>
      </c>
      <c r="Q267" s="15"/>
      <c r="R267" s="16">
        <v>0</v>
      </c>
      <c r="S267" s="15">
        <v>0</v>
      </c>
      <c r="T267" s="16">
        <f>+N267+O267+P267+R267+S267</f>
        <v>1</v>
      </c>
      <c r="U267" s="17" t="s">
        <v>161</v>
      </c>
    </row>
    <row r="268" spans="1:21" x14ac:dyDescent="0.25">
      <c r="A268" s="7" t="s">
        <v>588</v>
      </c>
      <c r="B268" s="7" t="s">
        <v>87</v>
      </c>
      <c r="C268" s="7" t="s">
        <v>92</v>
      </c>
      <c r="D268" s="7" t="s">
        <v>195</v>
      </c>
      <c r="E268" s="8" t="s">
        <v>364</v>
      </c>
      <c r="F268" s="7" t="s">
        <v>591</v>
      </c>
      <c r="G268" s="7" t="s">
        <v>57</v>
      </c>
      <c r="H268" s="9">
        <v>8000</v>
      </c>
      <c r="I268" s="56">
        <f t="shared" si="16"/>
        <v>60</v>
      </c>
      <c r="J268" s="11">
        <f t="shared" si="15"/>
        <v>8060</v>
      </c>
      <c r="K268" s="53">
        <f t="shared" si="17"/>
        <v>8480</v>
      </c>
      <c r="L268" s="13">
        <f t="shared" si="18"/>
        <v>370</v>
      </c>
      <c r="M268" s="14">
        <v>50</v>
      </c>
      <c r="N268" s="15">
        <v>0</v>
      </c>
      <c r="O268" s="15">
        <v>1</v>
      </c>
      <c r="P268" s="15">
        <v>1</v>
      </c>
      <c r="Q268" s="15"/>
      <c r="R268" s="16">
        <v>0</v>
      </c>
      <c r="S268" s="15">
        <v>3</v>
      </c>
      <c r="T268" s="16">
        <f>+N268+O268+P268+R268+S268</f>
        <v>5</v>
      </c>
      <c r="U268" s="17" t="s">
        <v>161</v>
      </c>
    </row>
    <row r="269" spans="1:21" x14ac:dyDescent="0.25">
      <c r="A269" s="7" t="s">
        <v>588</v>
      </c>
      <c r="B269" s="7" t="s">
        <v>87</v>
      </c>
      <c r="C269" s="7" t="s">
        <v>92</v>
      </c>
      <c r="D269" s="7" t="s">
        <v>99</v>
      </c>
      <c r="E269" s="8" t="s">
        <v>364</v>
      </c>
      <c r="F269" s="7" t="s">
        <v>592</v>
      </c>
      <c r="G269" s="7" t="s">
        <v>57</v>
      </c>
      <c r="H269" s="9">
        <v>5593</v>
      </c>
      <c r="I269" s="56">
        <f t="shared" si="16"/>
        <v>41.947499999999998</v>
      </c>
      <c r="J269" s="11">
        <f t="shared" si="15"/>
        <v>5634.9475000000002</v>
      </c>
      <c r="K269" s="53">
        <f t="shared" si="17"/>
        <v>5928.58</v>
      </c>
      <c r="L269" s="13">
        <f t="shared" si="18"/>
        <v>243.63249999999971</v>
      </c>
      <c r="M269" s="14">
        <v>50</v>
      </c>
      <c r="N269" s="15">
        <v>0</v>
      </c>
      <c r="O269" s="15">
        <v>1</v>
      </c>
      <c r="P269" s="15">
        <v>1</v>
      </c>
      <c r="Q269" s="15"/>
      <c r="R269" s="16">
        <v>0</v>
      </c>
      <c r="S269" s="15">
        <v>12</v>
      </c>
      <c r="T269" s="16">
        <f>+N269+O269+P269+R269+S269</f>
        <v>14</v>
      </c>
      <c r="U269" s="17" t="s">
        <v>161</v>
      </c>
    </row>
    <row r="270" spans="1:21" x14ac:dyDescent="0.25">
      <c r="A270" s="18" t="s">
        <v>588</v>
      </c>
      <c r="B270" s="18" t="s">
        <v>87</v>
      </c>
      <c r="C270" s="18" t="s">
        <v>92</v>
      </c>
      <c r="D270" s="18" t="s">
        <v>593</v>
      </c>
      <c r="E270" s="19" t="s">
        <v>594</v>
      </c>
      <c r="F270" s="18" t="s">
        <v>595</v>
      </c>
      <c r="G270" s="18" t="s">
        <v>24</v>
      </c>
      <c r="H270" s="9">
        <v>12400</v>
      </c>
      <c r="I270" s="56">
        <f t="shared" si="16"/>
        <v>93</v>
      </c>
      <c r="J270" s="21">
        <f t="shared" si="15"/>
        <v>12493</v>
      </c>
      <c r="K270" s="53">
        <f t="shared" si="17"/>
        <v>13144</v>
      </c>
      <c r="L270" s="22">
        <f t="shared" si="18"/>
        <v>551</v>
      </c>
      <c r="M270" s="16">
        <v>100</v>
      </c>
      <c r="N270" s="15">
        <v>0</v>
      </c>
      <c r="O270" s="15">
        <v>1</v>
      </c>
      <c r="P270" s="15">
        <v>1</v>
      </c>
      <c r="Q270" s="15"/>
      <c r="R270" s="16">
        <v>0</v>
      </c>
      <c r="S270" s="15">
        <v>4</v>
      </c>
      <c r="T270" s="16">
        <f>+N270+O270+P270+R270+S270</f>
        <v>6</v>
      </c>
      <c r="U270" s="17" t="s">
        <v>161</v>
      </c>
    </row>
    <row r="271" spans="1:21" x14ac:dyDescent="0.25">
      <c r="A271" s="7" t="s">
        <v>588</v>
      </c>
      <c r="B271" s="7" t="s">
        <v>87</v>
      </c>
      <c r="C271" s="7" t="s">
        <v>92</v>
      </c>
      <c r="D271" s="7" t="s">
        <v>596</v>
      </c>
      <c r="E271" s="8" t="s">
        <v>594</v>
      </c>
      <c r="F271" s="7" t="s">
        <v>597</v>
      </c>
      <c r="G271" s="7" t="s">
        <v>24</v>
      </c>
      <c r="H271" s="9">
        <v>9520</v>
      </c>
      <c r="I271" s="56">
        <f t="shared" si="16"/>
        <v>71.399999999999991</v>
      </c>
      <c r="J271" s="11">
        <f t="shared" si="15"/>
        <v>9591.4</v>
      </c>
      <c r="K271" s="53">
        <f t="shared" si="17"/>
        <v>10091.200000000001</v>
      </c>
      <c r="L271" s="13">
        <f t="shared" si="18"/>
        <v>449.80000000000109</v>
      </c>
      <c r="M271" s="14">
        <v>50</v>
      </c>
      <c r="N271" s="15">
        <v>0</v>
      </c>
      <c r="O271" s="15">
        <v>0</v>
      </c>
      <c r="P271" s="15">
        <v>0</v>
      </c>
      <c r="Q271" s="15"/>
      <c r="R271" s="16">
        <v>1</v>
      </c>
      <c r="S271" s="15">
        <v>3</v>
      </c>
      <c r="T271" s="16">
        <f>+N271+O271+P271+R271+S271</f>
        <v>4</v>
      </c>
      <c r="U271" s="17" t="s">
        <v>161</v>
      </c>
    </row>
    <row r="272" spans="1:21" x14ac:dyDescent="0.25">
      <c r="A272" s="18" t="s">
        <v>588</v>
      </c>
      <c r="B272" s="18" t="s">
        <v>87</v>
      </c>
      <c r="C272" s="18" t="s">
        <v>92</v>
      </c>
      <c r="D272" s="18" t="s">
        <v>101</v>
      </c>
      <c r="E272" s="19" t="s">
        <v>594</v>
      </c>
      <c r="F272" s="18" t="s">
        <v>598</v>
      </c>
      <c r="G272" s="18" t="s">
        <v>24</v>
      </c>
      <c r="H272" s="9">
        <v>9328</v>
      </c>
      <c r="I272" s="56">
        <f t="shared" si="16"/>
        <v>69.959999999999994</v>
      </c>
      <c r="J272" s="21">
        <f t="shared" si="15"/>
        <v>9397.9599999999991</v>
      </c>
      <c r="K272" s="53">
        <f t="shared" si="17"/>
        <v>9887.68</v>
      </c>
      <c r="L272" s="22">
        <f t="shared" si="18"/>
        <v>439.72000000000116</v>
      </c>
      <c r="M272" s="16">
        <v>50</v>
      </c>
      <c r="N272" s="15">
        <v>1</v>
      </c>
      <c r="O272" s="15">
        <v>0</v>
      </c>
      <c r="P272" s="15">
        <v>1</v>
      </c>
      <c r="Q272" s="15"/>
      <c r="R272" s="16">
        <v>0</v>
      </c>
      <c r="S272" s="15">
        <v>3</v>
      </c>
      <c r="T272" s="16">
        <f>+N272+O272+P272+R272+S272</f>
        <v>5</v>
      </c>
      <c r="U272" s="17" t="s">
        <v>161</v>
      </c>
    </row>
    <row r="273" spans="1:21" x14ac:dyDescent="0.25">
      <c r="A273" s="18" t="s">
        <v>588</v>
      </c>
      <c r="B273" s="18" t="s">
        <v>78</v>
      </c>
      <c r="C273" s="18" t="s">
        <v>83</v>
      </c>
      <c r="D273" s="18" t="s">
        <v>122</v>
      </c>
      <c r="E273" s="19" t="s">
        <v>85</v>
      </c>
      <c r="F273" s="18" t="s">
        <v>599</v>
      </c>
      <c r="G273" s="18" t="s">
        <v>39</v>
      </c>
      <c r="H273" s="9">
        <v>4650</v>
      </c>
      <c r="I273" s="56">
        <f t="shared" si="16"/>
        <v>34.875</v>
      </c>
      <c r="J273" s="21">
        <f t="shared" si="15"/>
        <v>4684.875</v>
      </c>
      <c r="K273" s="53">
        <f t="shared" si="17"/>
        <v>4929</v>
      </c>
      <c r="L273" s="22">
        <f t="shared" si="18"/>
        <v>194.125</v>
      </c>
      <c r="M273" s="16">
        <v>50</v>
      </c>
      <c r="N273" s="15">
        <v>0</v>
      </c>
      <c r="O273" s="15">
        <v>0</v>
      </c>
      <c r="P273" s="15">
        <v>1</v>
      </c>
      <c r="Q273" s="15"/>
      <c r="R273" s="16">
        <v>0</v>
      </c>
      <c r="S273" s="15">
        <v>8</v>
      </c>
      <c r="T273" s="16">
        <f>+N273+O273+P273+R273+S273</f>
        <v>9</v>
      </c>
      <c r="U273" s="17" t="s">
        <v>161</v>
      </c>
    </row>
    <row r="274" spans="1:21" x14ac:dyDescent="0.25">
      <c r="A274" s="18" t="s">
        <v>588</v>
      </c>
      <c r="B274" s="18" t="s">
        <v>78</v>
      </c>
      <c r="C274" s="18" t="s">
        <v>83</v>
      </c>
      <c r="D274" s="18" t="s">
        <v>122</v>
      </c>
      <c r="E274" s="19" t="s">
        <v>85</v>
      </c>
      <c r="F274" s="18" t="s">
        <v>599</v>
      </c>
      <c r="G274" s="18" t="s">
        <v>24</v>
      </c>
      <c r="H274" s="9">
        <v>5535</v>
      </c>
      <c r="I274" s="56">
        <f t="shared" si="16"/>
        <v>41.512499999999996</v>
      </c>
      <c r="J274" s="21">
        <f t="shared" si="15"/>
        <v>5576.5124999999998</v>
      </c>
      <c r="K274" s="53">
        <f t="shared" si="17"/>
        <v>5867.1</v>
      </c>
      <c r="L274" s="22">
        <f t="shared" si="18"/>
        <v>240.58750000000055</v>
      </c>
      <c r="M274" s="16">
        <v>50</v>
      </c>
      <c r="N274" s="15">
        <v>0</v>
      </c>
      <c r="O274" s="15">
        <v>0</v>
      </c>
      <c r="P274" s="15">
        <v>0</v>
      </c>
      <c r="Q274" s="15"/>
      <c r="R274" s="16">
        <v>0</v>
      </c>
      <c r="S274" s="15">
        <v>5</v>
      </c>
      <c r="T274" s="16">
        <f>+N274+O274+P274+R274+S274</f>
        <v>5</v>
      </c>
      <c r="U274" s="17" t="s">
        <v>161</v>
      </c>
    </row>
    <row r="275" spans="1:21" x14ac:dyDescent="0.25">
      <c r="A275" s="18" t="s">
        <v>600</v>
      </c>
      <c r="B275" s="18" t="s">
        <v>19</v>
      </c>
      <c r="C275" s="18" t="s">
        <v>28</v>
      </c>
      <c r="D275" s="18" t="s">
        <v>33</v>
      </c>
      <c r="E275" s="19" t="s">
        <v>601</v>
      </c>
      <c r="F275" s="18" t="s">
        <v>602</v>
      </c>
      <c r="G275" s="18" t="s">
        <v>389</v>
      </c>
      <c r="H275" s="9">
        <v>290</v>
      </c>
      <c r="I275" s="56">
        <f t="shared" si="16"/>
        <v>2.1749999999999998</v>
      </c>
      <c r="J275" s="21">
        <f t="shared" si="15"/>
        <v>292.17500000000001</v>
      </c>
      <c r="K275" s="53">
        <f t="shared" si="17"/>
        <v>307.39999999999998</v>
      </c>
      <c r="L275" s="22">
        <f t="shared" si="18"/>
        <v>5.2249999999999659</v>
      </c>
      <c r="M275" s="16">
        <v>10</v>
      </c>
      <c r="N275" s="15">
        <v>1</v>
      </c>
      <c r="O275" s="15">
        <v>0</v>
      </c>
      <c r="P275" s="15">
        <v>1</v>
      </c>
      <c r="Q275" s="15"/>
      <c r="R275" s="16">
        <v>0</v>
      </c>
      <c r="S275" s="15">
        <v>0</v>
      </c>
      <c r="T275" s="16">
        <f>+N275+O275+P275+R275+S275</f>
        <v>2</v>
      </c>
      <c r="U275" s="17" t="s">
        <v>603</v>
      </c>
    </row>
    <row r="276" spans="1:21" x14ac:dyDescent="0.25">
      <c r="A276" s="18" t="s">
        <v>600</v>
      </c>
      <c r="B276" s="18" t="s">
        <v>19</v>
      </c>
      <c r="C276" s="18" t="s">
        <v>28</v>
      </c>
      <c r="D276" s="18" t="s">
        <v>604</v>
      </c>
      <c r="E276" s="19" t="s">
        <v>601</v>
      </c>
      <c r="F276" s="18" t="s">
        <v>605</v>
      </c>
      <c r="G276" s="18" t="s">
        <v>389</v>
      </c>
      <c r="H276" s="9">
        <v>310</v>
      </c>
      <c r="I276" s="56">
        <f t="shared" si="16"/>
        <v>2.3249999999999997</v>
      </c>
      <c r="J276" s="21">
        <f t="shared" si="15"/>
        <v>312.32499999999999</v>
      </c>
      <c r="K276" s="53">
        <f t="shared" si="17"/>
        <v>328.6</v>
      </c>
      <c r="L276" s="22">
        <f t="shared" si="18"/>
        <v>6.2750000000000341</v>
      </c>
      <c r="M276" s="16">
        <v>10</v>
      </c>
      <c r="N276" s="15">
        <v>1</v>
      </c>
      <c r="O276" s="15">
        <v>0</v>
      </c>
      <c r="P276" s="15">
        <v>2</v>
      </c>
      <c r="Q276" s="15"/>
      <c r="R276" s="16">
        <v>0</v>
      </c>
      <c r="S276" s="15">
        <v>0</v>
      </c>
      <c r="T276" s="16">
        <f>+N276+O276+P276+R276+S276</f>
        <v>3</v>
      </c>
      <c r="U276" s="17" t="s">
        <v>603</v>
      </c>
    </row>
    <row r="277" spans="1:21" x14ac:dyDescent="0.25">
      <c r="A277" s="18" t="s">
        <v>606</v>
      </c>
      <c r="B277" s="18" t="s">
        <v>268</v>
      </c>
      <c r="C277" s="18" t="s">
        <v>269</v>
      </c>
      <c r="D277" s="18" t="s">
        <v>270</v>
      </c>
      <c r="E277" s="19" t="s">
        <v>271</v>
      </c>
      <c r="F277" s="18" t="s">
        <v>607</v>
      </c>
      <c r="G277" s="18" t="s">
        <v>39</v>
      </c>
      <c r="H277" s="9">
        <v>4000</v>
      </c>
      <c r="I277" s="56">
        <f t="shared" si="16"/>
        <v>30</v>
      </c>
      <c r="J277" s="21">
        <f t="shared" si="15"/>
        <v>4030</v>
      </c>
      <c r="K277" s="53">
        <f t="shared" si="17"/>
        <v>4240</v>
      </c>
      <c r="L277" s="22">
        <f t="shared" si="18"/>
        <v>180</v>
      </c>
      <c r="M277" s="16">
        <v>30</v>
      </c>
      <c r="N277" s="15">
        <v>1</v>
      </c>
      <c r="O277" s="15">
        <v>0</v>
      </c>
      <c r="P277" s="15">
        <v>0</v>
      </c>
      <c r="Q277" s="15"/>
      <c r="R277" s="16">
        <v>0</v>
      </c>
      <c r="S277" s="15">
        <v>0</v>
      </c>
      <c r="T277" s="16">
        <f>+N277+O277+P277+R277+S277</f>
        <v>1</v>
      </c>
      <c r="U277" s="17" t="s">
        <v>190</v>
      </c>
    </row>
    <row r="278" spans="1:21" x14ac:dyDescent="0.25">
      <c r="A278" s="7" t="s">
        <v>606</v>
      </c>
      <c r="B278" s="7" t="s">
        <v>63</v>
      </c>
      <c r="C278" s="7" t="s">
        <v>64</v>
      </c>
      <c r="D278" s="7" t="s">
        <v>216</v>
      </c>
      <c r="E278" s="8" t="s">
        <v>608</v>
      </c>
      <c r="F278" s="7" t="s">
        <v>609</v>
      </c>
      <c r="G278" s="7" t="s">
        <v>39</v>
      </c>
      <c r="H278" s="9">
        <v>1650</v>
      </c>
      <c r="I278" s="56">
        <f t="shared" si="16"/>
        <v>12.375</v>
      </c>
      <c r="J278" s="11">
        <f t="shared" si="15"/>
        <v>1662.375</v>
      </c>
      <c r="K278" s="53">
        <f t="shared" si="17"/>
        <v>1749</v>
      </c>
      <c r="L278" s="13">
        <f t="shared" si="18"/>
        <v>56.625</v>
      </c>
      <c r="M278" s="14">
        <v>30</v>
      </c>
      <c r="N278" s="15">
        <v>0</v>
      </c>
      <c r="O278" s="15">
        <v>0</v>
      </c>
      <c r="P278" s="15">
        <v>0</v>
      </c>
      <c r="Q278" s="15"/>
      <c r="R278" s="16">
        <v>0</v>
      </c>
      <c r="S278" s="15">
        <v>20</v>
      </c>
      <c r="T278" s="16">
        <f>+N278+O278+P278+R278+S278</f>
        <v>20</v>
      </c>
      <c r="U278" s="17" t="s">
        <v>190</v>
      </c>
    </row>
    <row r="279" spans="1:21" x14ac:dyDescent="0.25">
      <c r="A279" s="7" t="s">
        <v>606</v>
      </c>
      <c r="B279" s="7" t="s">
        <v>63</v>
      </c>
      <c r="C279" s="7" t="s">
        <v>64</v>
      </c>
      <c r="D279" s="7" t="s">
        <v>89</v>
      </c>
      <c r="E279" s="8" t="s">
        <v>608</v>
      </c>
      <c r="F279" s="7" t="s">
        <v>610</v>
      </c>
      <c r="G279" s="7" t="s">
        <v>39</v>
      </c>
      <c r="H279" s="9">
        <v>2050</v>
      </c>
      <c r="I279" s="56">
        <f t="shared" si="16"/>
        <v>15.375</v>
      </c>
      <c r="J279" s="11">
        <f t="shared" si="15"/>
        <v>2065.375</v>
      </c>
      <c r="K279" s="53">
        <f t="shared" si="17"/>
        <v>2173</v>
      </c>
      <c r="L279" s="13">
        <f t="shared" si="18"/>
        <v>77.625</v>
      </c>
      <c r="M279" s="14">
        <v>30</v>
      </c>
      <c r="N279" s="15">
        <v>0</v>
      </c>
      <c r="O279" s="15">
        <v>0</v>
      </c>
      <c r="P279" s="15">
        <v>0</v>
      </c>
      <c r="Q279" s="15"/>
      <c r="R279" s="16">
        <v>0</v>
      </c>
      <c r="S279" s="15">
        <v>30</v>
      </c>
      <c r="T279" s="16">
        <f>+N279+O279+P279+R279+S279</f>
        <v>30</v>
      </c>
      <c r="U279" s="17" t="s">
        <v>190</v>
      </c>
    </row>
    <row r="280" spans="1:21" x14ac:dyDescent="0.25">
      <c r="A280" s="7" t="s">
        <v>606</v>
      </c>
      <c r="B280" s="7" t="s">
        <v>87</v>
      </c>
      <c r="C280" s="7" t="s">
        <v>92</v>
      </c>
      <c r="D280" s="7" t="s">
        <v>548</v>
      </c>
      <c r="E280" s="8"/>
      <c r="F280" s="7" t="s">
        <v>611</v>
      </c>
      <c r="G280" s="7" t="s">
        <v>57</v>
      </c>
      <c r="H280" s="9">
        <v>2350</v>
      </c>
      <c r="I280" s="56">
        <f t="shared" si="16"/>
        <v>17.625</v>
      </c>
      <c r="J280" s="11">
        <f t="shared" si="15"/>
        <v>2367.625</v>
      </c>
      <c r="K280" s="53">
        <f t="shared" si="17"/>
        <v>2491</v>
      </c>
      <c r="L280" s="13">
        <f t="shared" si="18"/>
        <v>103.375</v>
      </c>
      <c r="M280" s="14">
        <v>20</v>
      </c>
      <c r="N280" s="15">
        <v>0</v>
      </c>
      <c r="O280" s="15">
        <v>0</v>
      </c>
      <c r="P280" s="15">
        <v>0</v>
      </c>
      <c r="Q280" s="15"/>
      <c r="R280" s="16">
        <v>0</v>
      </c>
      <c r="S280" s="15">
        <v>8</v>
      </c>
      <c r="T280" s="16">
        <f>+N280+O280+P280+R280+S280</f>
        <v>8</v>
      </c>
      <c r="U280" s="17" t="s">
        <v>190</v>
      </c>
    </row>
    <row r="281" spans="1:21" x14ac:dyDescent="0.25">
      <c r="A281" s="18" t="s">
        <v>612</v>
      </c>
      <c r="B281" s="18" t="s">
        <v>78</v>
      </c>
      <c r="C281" s="18" t="s">
        <v>83</v>
      </c>
      <c r="D281" s="18" t="s">
        <v>475</v>
      </c>
      <c r="E281" s="19" t="s">
        <v>85</v>
      </c>
      <c r="F281" s="18" t="s">
        <v>613</v>
      </c>
      <c r="G281" s="18" t="s">
        <v>129</v>
      </c>
      <c r="H281" s="9">
        <v>4000</v>
      </c>
      <c r="I281" s="56">
        <f t="shared" si="16"/>
        <v>30</v>
      </c>
      <c r="J281" s="21">
        <f t="shared" si="15"/>
        <v>4030</v>
      </c>
      <c r="K281" s="53">
        <f t="shared" si="17"/>
        <v>4240</v>
      </c>
      <c r="L281" s="22">
        <f t="shared" si="18"/>
        <v>180</v>
      </c>
      <c r="M281" s="16">
        <v>30</v>
      </c>
      <c r="N281" s="15">
        <v>0</v>
      </c>
      <c r="O281" s="15">
        <v>0</v>
      </c>
      <c r="P281" s="15">
        <v>1</v>
      </c>
      <c r="Q281" s="15"/>
      <c r="R281" s="16">
        <v>0</v>
      </c>
      <c r="S281" s="15">
        <v>0</v>
      </c>
      <c r="T281" s="16">
        <f>+N281+O281+P281+R281+S281</f>
        <v>1</v>
      </c>
      <c r="U281" s="17" t="s">
        <v>614</v>
      </c>
    </row>
    <row r="282" spans="1:21" x14ac:dyDescent="0.25">
      <c r="A282" s="18" t="s">
        <v>615</v>
      </c>
      <c r="B282" s="18" t="s">
        <v>616</v>
      </c>
      <c r="C282" s="18" t="s">
        <v>20</v>
      </c>
      <c r="D282" s="18"/>
      <c r="E282" s="19"/>
      <c r="F282" s="18" t="s">
        <v>617</v>
      </c>
      <c r="G282" s="18" t="s">
        <v>24</v>
      </c>
      <c r="H282" s="9">
        <v>800</v>
      </c>
      <c r="I282" s="56">
        <f t="shared" si="16"/>
        <v>6</v>
      </c>
      <c r="J282" s="21">
        <f t="shared" si="15"/>
        <v>806</v>
      </c>
      <c r="K282" s="53">
        <f t="shared" si="17"/>
        <v>848</v>
      </c>
      <c r="L282" s="22">
        <f t="shared" si="18"/>
        <v>12</v>
      </c>
      <c r="M282" s="16">
        <v>30</v>
      </c>
      <c r="N282" s="15">
        <v>0</v>
      </c>
      <c r="O282" s="15">
        <v>0</v>
      </c>
      <c r="P282" s="15">
        <v>0</v>
      </c>
      <c r="Q282" s="15"/>
      <c r="R282" s="16">
        <v>0</v>
      </c>
      <c r="S282" s="15">
        <v>1</v>
      </c>
      <c r="T282" s="16">
        <f>+N282+O282+P282+R282+S282</f>
        <v>1</v>
      </c>
      <c r="U282" s="17" t="s">
        <v>618</v>
      </c>
    </row>
    <row r="283" spans="1:21" x14ac:dyDescent="0.25">
      <c r="A283" s="18" t="s">
        <v>619</v>
      </c>
      <c r="B283" s="18" t="s">
        <v>19</v>
      </c>
      <c r="C283" s="18" t="s">
        <v>28</v>
      </c>
      <c r="D283" s="18" t="s">
        <v>33</v>
      </c>
      <c r="E283" s="19" t="s">
        <v>620</v>
      </c>
      <c r="F283" s="18" t="s">
        <v>621</v>
      </c>
      <c r="G283" s="18" t="s">
        <v>24</v>
      </c>
      <c r="H283" s="9">
        <v>1500</v>
      </c>
      <c r="I283" s="56">
        <f t="shared" si="16"/>
        <v>11.25</v>
      </c>
      <c r="J283" s="21">
        <f t="shared" si="15"/>
        <v>1511.25</v>
      </c>
      <c r="K283" s="53">
        <f t="shared" si="17"/>
        <v>1590</v>
      </c>
      <c r="L283" s="22">
        <f t="shared" si="18"/>
        <v>48.75</v>
      </c>
      <c r="M283" s="16">
        <v>30</v>
      </c>
      <c r="N283" s="15">
        <v>1</v>
      </c>
      <c r="O283" s="15">
        <v>0</v>
      </c>
      <c r="P283" s="15">
        <v>0</v>
      </c>
      <c r="Q283" s="15"/>
      <c r="R283" s="16">
        <v>0</v>
      </c>
      <c r="S283" s="15">
        <v>0</v>
      </c>
      <c r="T283" s="16">
        <f>+N283+O283+P283+R283+S283</f>
        <v>1</v>
      </c>
      <c r="U283" s="17" t="s">
        <v>274</v>
      </c>
    </row>
    <row r="284" spans="1:21" x14ac:dyDescent="0.25">
      <c r="A284" s="18" t="s">
        <v>622</v>
      </c>
      <c r="B284" s="18" t="s">
        <v>623</v>
      </c>
      <c r="C284" s="18" t="s">
        <v>624</v>
      </c>
      <c r="D284" s="18" t="s">
        <v>625</v>
      </c>
      <c r="E284" s="19" t="s">
        <v>626</v>
      </c>
      <c r="F284" s="18" t="s">
        <v>627</v>
      </c>
      <c r="G284" s="18" t="s">
        <v>39</v>
      </c>
      <c r="H284" s="9">
        <v>1800</v>
      </c>
      <c r="I284" s="56">
        <f t="shared" si="16"/>
        <v>13.5</v>
      </c>
      <c r="J284" s="21">
        <f t="shared" ref="J284:J334" si="19">+H284+I284</f>
        <v>1813.5</v>
      </c>
      <c r="K284" s="53">
        <f t="shared" si="17"/>
        <v>1908</v>
      </c>
      <c r="L284" s="22">
        <f t="shared" si="18"/>
        <v>64.5</v>
      </c>
      <c r="M284" s="16">
        <v>30</v>
      </c>
      <c r="N284" s="15">
        <v>0</v>
      </c>
      <c r="O284" s="15">
        <v>0</v>
      </c>
      <c r="P284" s="15">
        <v>0</v>
      </c>
      <c r="Q284" s="15"/>
      <c r="R284" s="16">
        <v>0</v>
      </c>
      <c r="S284" s="15">
        <v>2</v>
      </c>
      <c r="T284" s="16">
        <f>+N284+O284+P284+R284+S284</f>
        <v>2</v>
      </c>
      <c r="U284" s="17" t="s">
        <v>25</v>
      </c>
    </row>
    <row r="285" spans="1:21" x14ac:dyDescent="0.25">
      <c r="A285" s="18" t="s">
        <v>628</v>
      </c>
      <c r="B285" s="18" t="s">
        <v>52</v>
      </c>
      <c r="C285" s="18" t="s">
        <v>629</v>
      </c>
      <c r="D285" s="18" t="s">
        <v>49</v>
      </c>
      <c r="E285" s="19" t="s">
        <v>630</v>
      </c>
      <c r="F285" s="18" t="s">
        <v>631</v>
      </c>
      <c r="G285" s="18" t="s">
        <v>24</v>
      </c>
      <c r="H285" s="9">
        <v>1100</v>
      </c>
      <c r="I285" s="56">
        <f t="shared" si="16"/>
        <v>8.25</v>
      </c>
      <c r="J285" s="21">
        <f t="shared" si="19"/>
        <v>1108.25</v>
      </c>
      <c r="K285" s="53">
        <f t="shared" si="17"/>
        <v>1166</v>
      </c>
      <c r="L285" s="22">
        <f t="shared" si="18"/>
        <v>47.75</v>
      </c>
      <c r="M285" s="16">
        <v>10</v>
      </c>
      <c r="N285" s="15">
        <v>0</v>
      </c>
      <c r="O285" s="15">
        <v>0</v>
      </c>
      <c r="P285" s="15">
        <v>0</v>
      </c>
      <c r="Q285" s="15"/>
      <c r="R285" s="16">
        <v>0</v>
      </c>
      <c r="S285" s="15">
        <v>0</v>
      </c>
      <c r="T285" s="16">
        <f>+N285+O285+P285+R285+S285</f>
        <v>0</v>
      </c>
      <c r="U285" s="17" t="s">
        <v>61</v>
      </c>
    </row>
    <row r="286" spans="1:21" x14ac:dyDescent="0.25">
      <c r="A286" s="18" t="s">
        <v>628</v>
      </c>
      <c r="B286" s="18" t="s">
        <v>52</v>
      </c>
      <c r="C286" s="18" t="s">
        <v>629</v>
      </c>
      <c r="D286" s="18" t="s">
        <v>243</v>
      </c>
      <c r="E286" s="19" t="s">
        <v>630</v>
      </c>
      <c r="F286" s="18" t="s">
        <v>632</v>
      </c>
      <c r="G286" s="18" t="s">
        <v>24</v>
      </c>
      <c r="H286" s="9">
        <v>1200</v>
      </c>
      <c r="I286" s="56">
        <f t="shared" si="16"/>
        <v>9</v>
      </c>
      <c r="J286" s="21">
        <f t="shared" si="19"/>
        <v>1209</v>
      </c>
      <c r="K286" s="53">
        <f t="shared" si="17"/>
        <v>1272</v>
      </c>
      <c r="L286" s="22">
        <f t="shared" si="18"/>
        <v>53</v>
      </c>
      <c r="M286" s="16">
        <v>10</v>
      </c>
      <c r="N286" s="15">
        <v>0</v>
      </c>
      <c r="O286" s="15">
        <v>0</v>
      </c>
      <c r="P286" s="15">
        <v>0</v>
      </c>
      <c r="Q286" s="15"/>
      <c r="R286" s="16">
        <v>0</v>
      </c>
      <c r="S286" s="15">
        <v>0</v>
      </c>
      <c r="T286" s="16">
        <f>+N286+O286+P286+R286+S286</f>
        <v>0</v>
      </c>
      <c r="U286" s="17" t="s">
        <v>61</v>
      </c>
    </row>
    <row r="287" spans="1:21" x14ac:dyDescent="0.25">
      <c r="A287" s="18" t="s">
        <v>628</v>
      </c>
      <c r="B287" s="18" t="s">
        <v>52</v>
      </c>
      <c r="C287" s="18" t="s">
        <v>629</v>
      </c>
      <c r="D287" s="18" t="s">
        <v>111</v>
      </c>
      <c r="E287" s="19" t="s">
        <v>630</v>
      </c>
      <c r="F287" s="18" t="s">
        <v>633</v>
      </c>
      <c r="G287" s="18" t="s">
        <v>24</v>
      </c>
      <c r="H287" s="9">
        <v>1300</v>
      </c>
      <c r="I287" s="56">
        <f t="shared" si="16"/>
        <v>9.75</v>
      </c>
      <c r="J287" s="21">
        <f t="shared" si="19"/>
        <v>1309.75</v>
      </c>
      <c r="K287" s="53">
        <f t="shared" si="17"/>
        <v>1378</v>
      </c>
      <c r="L287" s="22">
        <f t="shared" si="18"/>
        <v>58.25</v>
      </c>
      <c r="M287" s="16">
        <v>10</v>
      </c>
      <c r="N287" s="15">
        <v>0</v>
      </c>
      <c r="O287" s="15">
        <v>0</v>
      </c>
      <c r="P287" s="15">
        <v>0</v>
      </c>
      <c r="Q287" s="15"/>
      <c r="R287" s="16">
        <v>0</v>
      </c>
      <c r="S287" s="15">
        <v>0</v>
      </c>
      <c r="T287" s="16">
        <f>+N287+O287+P287+R287+S287</f>
        <v>0</v>
      </c>
      <c r="U287" s="17" t="s">
        <v>61</v>
      </c>
    </row>
    <row r="288" spans="1:21" x14ac:dyDescent="0.25">
      <c r="A288" s="18" t="s">
        <v>628</v>
      </c>
      <c r="B288" s="18" t="s">
        <v>52</v>
      </c>
      <c r="C288" s="18" t="s">
        <v>629</v>
      </c>
      <c r="D288" s="18" t="s">
        <v>49</v>
      </c>
      <c r="E288" s="19" t="s">
        <v>630</v>
      </c>
      <c r="F288" s="18" t="s">
        <v>634</v>
      </c>
      <c r="G288" s="18" t="s">
        <v>57</v>
      </c>
      <c r="H288" s="9">
        <v>1200</v>
      </c>
      <c r="I288" s="56">
        <f t="shared" si="16"/>
        <v>9</v>
      </c>
      <c r="J288" s="21">
        <f t="shared" si="19"/>
        <v>1209</v>
      </c>
      <c r="K288" s="53">
        <f t="shared" si="17"/>
        <v>1272</v>
      </c>
      <c r="L288" s="22">
        <f t="shared" si="18"/>
        <v>53</v>
      </c>
      <c r="M288" s="16">
        <v>10</v>
      </c>
      <c r="N288" s="15">
        <v>1</v>
      </c>
      <c r="O288" s="15">
        <v>0</v>
      </c>
      <c r="P288" s="15">
        <v>1</v>
      </c>
      <c r="Q288" s="15"/>
      <c r="R288" s="16">
        <v>0</v>
      </c>
      <c r="S288" s="15">
        <v>3</v>
      </c>
      <c r="T288" s="16">
        <f>+N288+O288+P288+R288+S288</f>
        <v>5</v>
      </c>
      <c r="U288" s="17" t="s">
        <v>61</v>
      </c>
    </row>
    <row r="289" spans="1:21" x14ac:dyDescent="0.25">
      <c r="A289" s="18" t="s">
        <v>628</v>
      </c>
      <c r="B289" s="18" t="s">
        <v>52</v>
      </c>
      <c r="C289" s="18" t="s">
        <v>629</v>
      </c>
      <c r="D289" s="18" t="s">
        <v>243</v>
      </c>
      <c r="E289" s="19" t="s">
        <v>630</v>
      </c>
      <c r="F289" s="18" t="s">
        <v>635</v>
      </c>
      <c r="G289" s="18" t="s">
        <v>57</v>
      </c>
      <c r="H289" s="9">
        <v>1300</v>
      </c>
      <c r="I289" s="56">
        <f t="shared" si="16"/>
        <v>9.75</v>
      </c>
      <c r="J289" s="21">
        <f t="shared" si="19"/>
        <v>1309.75</v>
      </c>
      <c r="K289" s="53">
        <f t="shared" si="17"/>
        <v>1378</v>
      </c>
      <c r="L289" s="22">
        <f t="shared" si="18"/>
        <v>58.25</v>
      </c>
      <c r="M289" s="16">
        <v>10</v>
      </c>
      <c r="N289" s="15">
        <v>0</v>
      </c>
      <c r="O289" s="15">
        <v>1</v>
      </c>
      <c r="P289" s="15">
        <v>0</v>
      </c>
      <c r="Q289" s="15"/>
      <c r="R289" s="16">
        <v>0</v>
      </c>
      <c r="S289" s="15">
        <v>2</v>
      </c>
      <c r="T289" s="16">
        <f>+N289+O289+P289+R289+S289</f>
        <v>3</v>
      </c>
      <c r="U289" s="17" t="s">
        <v>61</v>
      </c>
    </row>
    <row r="290" spans="1:21" x14ac:dyDescent="0.25">
      <c r="A290" s="18" t="s">
        <v>628</v>
      </c>
      <c r="B290" s="18" t="s">
        <v>52</v>
      </c>
      <c r="C290" s="18" t="s">
        <v>629</v>
      </c>
      <c r="D290" s="18" t="s">
        <v>111</v>
      </c>
      <c r="E290" s="19" t="s">
        <v>630</v>
      </c>
      <c r="F290" s="18" t="s">
        <v>636</v>
      </c>
      <c r="G290" s="18" t="s">
        <v>57</v>
      </c>
      <c r="H290" s="9">
        <v>1400</v>
      </c>
      <c r="I290" s="56">
        <f t="shared" si="16"/>
        <v>10.5</v>
      </c>
      <c r="J290" s="21">
        <f t="shared" si="19"/>
        <v>1410.5</v>
      </c>
      <c r="K290" s="53">
        <f t="shared" si="17"/>
        <v>1484</v>
      </c>
      <c r="L290" s="22">
        <f t="shared" si="18"/>
        <v>63.5</v>
      </c>
      <c r="M290" s="16">
        <v>10</v>
      </c>
      <c r="N290" s="15">
        <v>1</v>
      </c>
      <c r="O290" s="15">
        <v>1</v>
      </c>
      <c r="P290" s="15">
        <v>0</v>
      </c>
      <c r="Q290" s="15"/>
      <c r="R290" s="16">
        <v>0</v>
      </c>
      <c r="S290" s="15">
        <v>1</v>
      </c>
      <c r="T290" s="16">
        <f>+N290+O290+P290+R290+S290</f>
        <v>3</v>
      </c>
      <c r="U290" s="17" t="s">
        <v>61</v>
      </c>
    </row>
    <row r="291" spans="1:21" x14ac:dyDescent="0.25">
      <c r="A291" s="7" t="s">
        <v>628</v>
      </c>
      <c r="B291" s="7" t="s">
        <v>19</v>
      </c>
      <c r="C291" s="7" t="s">
        <v>28</v>
      </c>
      <c r="D291" s="7" t="s">
        <v>33</v>
      </c>
      <c r="E291" s="8" t="s">
        <v>637</v>
      </c>
      <c r="F291" s="7" t="s">
        <v>638</v>
      </c>
      <c r="G291" s="7" t="s">
        <v>389</v>
      </c>
      <c r="H291" s="9">
        <v>260</v>
      </c>
      <c r="I291" s="56">
        <f t="shared" si="16"/>
        <v>1.95</v>
      </c>
      <c r="J291" s="11">
        <f t="shared" si="19"/>
        <v>261.95</v>
      </c>
      <c r="K291" s="53">
        <f t="shared" si="17"/>
        <v>275.60000000000002</v>
      </c>
      <c r="L291" s="13">
        <f t="shared" si="18"/>
        <v>3.6500000000000341</v>
      </c>
      <c r="M291" s="14">
        <v>10</v>
      </c>
      <c r="N291" s="15">
        <v>1</v>
      </c>
      <c r="O291" s="15">
        <v>0</v>
      </c>
      <c r="P291" s="15">
        <v>0</v>
      </c>
      <c r="Q291" s="15"/>
      <c r="R291" s="16">
        <v>0</v>
      </c>
      <c r="S291" s="15">
        <v>4</v>
      </c>
      <c r="T291" s="16">
        <f>+N291+O291+P291+R291+S291</f>
        <v>5</v>
      </c>
      <c r="U291" s="17" t="s">
        <v>61</v>
      </c>
    </row>
    <row r="292" spans="1:21" x14ac:dyDescent="0.25">
      <c r="A292" s="7" t="s">
        <v>628</v>
      </c>
      <c r="B292" s="7" t="s">
        <v>19</v>
      </c>
      <c r="C292" s="7" t="s">
        <v>28</v>
      </c>
      <c r="D292" s="7" t="s">
        <v>604</v>
      </c>
      <c r="E292" s="8" t="s">
        <v>637</v>
      </c>
      <c r="F292" s="7" t="s">
        <v>639</v>
      </c>
      <c r="G292" s="7" t="s">
        <v>389</v>
      </c>
      <c r="H292" s="9">
        <v>280</v>
      </c>
      <c r="I292" s="56">
        <f t="shared" si="16"/>
        <v>2.1</v>
      </c>
      <c r="J292" s="11">
        <f t="shared" si="19"/>
        <v>282.10000000000002</v>
      </c>
      <c r="K292" s="53">
        <f t="shared" si="17"/>
        <v>296.8</v>
      </c>
      <c r="L292" s="13">
        <f t="shared" si="18"/>
        <v>4.6999999999999886</v>
      </c>
      <c r="M292" s="14">
        <v>10</v>
      </c>
      <c r="N292" s="15">
        <v>1</v>
      </c>
      <c r="O292" s="15">
        <v>0</v>
      </c>
      <c r="P292" s="15">
        <v>0</v>
      </c>
      <c r="Q292" s="15"/>
      <c r="R292" s="16">
        <v>0</v>
      </c>
      <c r="S292" s="15">
        <v>4</v>
      </c>
      <c r="T292" s="16">
        <f>+N292+O292+P292+R292+S292</f>
        <v>5</v>
      </c>
      <c r="U292" s="17" t="s">
        <v>61</v>
      </c>
    </row>
    <row r="293" spans="1:21" x14ac:dyDescent="0.25">
      <c r="A293" s="7" t="s">
        <v>628</v>
      </c>
      <c r="B293" s="7" t="s">
        <v>19</v>
      </c>
      <c r="C293" s="7" t="s">
        <v>20</v>
      </c>
      <c r="D293" s="7" t="s">
        <v>21</v>
      </c>
      <c r="E293" s="8" t="s">
        <v>258</v>
      </c>
      <c r="F293" s="7" t="s">
        <v>640</v>
      </c>
      <c r="G293" s="7" t="s">
        <v>641</v>
      </c>
      <c r="H293" s="9">
        <v>1150</v>
      </c>
      <c r="I293" s="56">
        <f t="shared" si="16"/>
        <v>8.625</v>
      </c>
      <c r="J293" s="11">
        <f>+H293+I293</f>
        <v>1158.625</v>
      </c>
      <c r="K293" s="53">
        <f t="shared" si="17"/>
        <v>1219</v>
      </c>
      <c r="L293" s="13">
        <f t="shared" si="18"/>
        <v>40.375</v>
      </c>
      <c r="M293" s="14">
        <v>20</v>
      </c>
      <c r="N293" s="15">
        <v>0</v>
      </c>
      <c r="O293" s="15">
        <v>0</v>
      </c>
      <c r="P293" s="15">
        <v>0</v>
      </c>
      <c r="Q293" s="15"/>
      <c r="R293" s="16">
        <v>0</v>
      </c>
      <c r="S293" s="15">
        <v>0</v>
      </c>
      <c r="T293" s="16">
        <f>+N293+O293+P293+R293+S293</f>
        <v>0</v>
      </c>
      <c r="U293" s="17" t="s">
        <v>61</v>
      </c>
    </row>
    <row r="294" spans="1:21" x14ac:dyDescent="0.25">
      <c r="A294" s="7" t="s">
        <v>628</v>
      </c>
      <c r="B294" s="7" t="s">
        <v>19</v>
      </c>
      <c r="C294" s="7" t="s">
        <v>20</v>
      </c>
      <c r="D294" s="7" t="s">
        <v>21</v>
      </c>
      <c r="E294" s="8" t="s">
        <v>642</v>
      </c>
      <c r="F294" s="7" t="s">
        <v>643</v>
      </c>
      <c r="G294" s="7" t="s">
        <v>57</v>
      </c>
      <c r="H294" s="9">
        <v>950</v>
      </c>
      <c r="I294" s="56">
        <f t="shared" si="16"/>
        <v>7.125</v>
      </c>
      <c r="J294" s="11">
        <f t="shared" si="19"/>
        <v>957.125</v>
      </c>
      <c r="K294" s="53">
        <f t="shared" si="17"/>
        <v>1007</v>
      </c>
      <c r="L294" s="13">
        <f t="shared" si="18"/>
        <v>29.875</v>
      </c>
      <c r="M294" s="14">
        <v>20</v>
      </c>
      <c r="N294" s="15">
        <v>0</v>
      </c>
      <c r="O294" s="15">
        <v>1</v>
      </c>
      <c r="P294" s="15">
        <v>1</v>
      </c>
      <c r="Q294" s="15"/>
      <c r="R294" s="16">
        <v>0</v>
      </c>
      <c r="S294" s="15">
        <v>1</v>
      </c>
      <c r="T294" s="16">
        <f>+N294+O294+P294+R294+S294</f>
        <v>3</v>
      </c>
      <c r="U294" s="17" t="s">
        <v>61</v>
      </c>
    </row>
    <row r="295" spans="1:21" x14ac:dyDescent="0.25">
      <c r="A295" s="18" t="s">
        <v>628</v>
      </c>
      <c r="B295" s="18" t="s">
        <v>19</v>
      </c>
      <c r="C295" s="18" t="s">
        <v>20</v>
      </c>
      <c r="D295" s="18" t="s">
        <v>21</v>
      </c>
      <c r="E295" s="19" t="s">
        <v>644</v>
      </c>
      <c r="F295" s="18" t="s">
        <v>645</v>
      </c>
      <c r="G295" s="18" t="s">
        <v>57</v>
      </c>
      <c r="H295" s="9">
        <v>1550</v>
      </c>
      <c r="I295" s="56">
        <f t="shared" si="16"/>
        <v>11.625</v>
      </c>
      <c r="J295" s="21">
        <f>+H295+I295</f>
        <v>1561.625</v>
      </c>
      <c r="K295" s="53">
        <f t="shared" si="17"/>
        <v>1643</v>
      </c>
      <c r="L295" s="22">
        <f t="shared" si="18"/>
        <v>61.375</v>
      </c>
      <c r="M295" s="16">
        <v>20</v>
      </c>
      <c r="N295" s="15">
        <v>1</v>
      </c>
      <c r="O295" s="15">
        <v>1</v>
      </c>
      <c r="P295" s="15">
        <v>1</v>
      </c>
      <c r="Q295" s="15"/>
      <c r="R295" s="16">
        <v>0</v>
      </c>
      <c r="S295" s="15">
        <v>1</v>
      </c>
      <c r="T295" s="16">
        <f>+N295+O295+P295+R295+S295</f>
        <v>4</v>
      </c>
      <c r="U295" s="17" t="s">
        <v>61</v>
      </c>
    </row>
    <row r="296" spans="1:21" x14ac:dyDescent="0.25">
      <c r="A296" s="18" t="s">
        <v>628</v>
      </c>
      <c r="B296" s="18" t="s">
        <v>19</v>
      </c>
      <c r="C296" s="18" t="s">
        <v>20</v>
      </c>
      <c r="D296" s="18" t="s">
        <v>21</v>
      </c>
      <c r="E296" s="19" t="s">
        <v>644</v>
      </c>
      <c r="F296" s="18" t="s">
        <v>646</v>
      </c>
      <c r="G296" s="18" t="s">
        <v>57</v>
      </c>
      <c r="H296" s="9">
        <v>1700</v>
      </c>
      <c r="I296" s="56">
        <f t="shared" si="16"/>
        <v>12.75</v>
      </c>
      <c r="J296" s="21">
        <f>+H296+I296</f>
        <v>1712.75</v>
      </c>
      <c r="K296" s="53">
        <f t="shared" si="17"/>
        <v>1802</v>
      </c>
      <c r="L296" s="22">
        <f t="shared" si="18"/>
        <v>69.25</v>
      </c>
      <c r="M296" s="16">
        <v>20</v>
      </c>
      <c r="N296" s="15">
        <v>1</v>
      </c>
      <c r="O296" s="15">
        <v>0</v>
      </c>
      <c r="P296" s="15">
        <v>1</v>
      </c>
      <c r="Q296" s="15"/>
      <c r="R296" s="16">
        <v>0</v>
      </c>
      <c r="S296" s="15">
        <v>4</v>
      </c>
      <c r="T296" s="16">
        <f>+N296+O296+P296+R296+S296</f>
        <v>6</v>
      </c>
      <c r="U296" s="17" t="s">
        <v>61</v>
      </c>
    </row>
    <row r="297" spans="1:21" x14ac:dyDescent="0.25">
      <c r="A297" s="18" t="s">
        <v>628</v>
      </c>
      <c r="B297" s="18" t="s">
        <v>19</v>
      </c>
      <c r="C297" s="18" t="s">
        <v>20</v>
      </c>
      <c r="D297" s="18" t="s">
        <v>21</v>
      </c>
      <c r="E297" s="19" t="s">
        <v>644</v>
      </c>
      <c r="F297" s="18" t="s">
        <v>647</v>
      </c>
      <c r="G297" s="18" t="s">
        <v>57</v>
      </c>
      <c r="H297" s="9">
        <v>2650</v>
      </c>
      <c r="I297" s="56">
        <f t="shared" si="16"/>
        <v>19.875</v>
      </c>
      <c r="J297" s="21">
        <f t="shared" si="19"/>
        <v>2669.875</v>
      </c>
      <c r="K297" s="53">
        <f t="shared" si="17"/>
        <v>2809</v>
      </c>
      <c r="L297" s="22">
        <f t="shared" si="18"/>
        <v>109.125</v>
      </c>
      <c r="M297" s="16">
        <v>30</v>
      </c>
      <c r="N297" s="15">
        <v>0</v>
      </c>
      <c r="O297" s="15">
        <v>0</v>
      </c>
      <c r="P297" s="15">
        <v>0</v>
      </c>
      <c r="Q297" s="15"/>
      <c r="R297" s="16">
        <v>0</v>
      </c>
      <c r="S297" s="15">
        <v>0</v>
      </c>
      <c r="T297" s="16">
        <f>+N297+O297+P297+R297+S297</f>
        <v>0</v>
      </c>
      <c r="U297" s="17" t="s">
        <v>61</v>
      </c>
    </row>
    <row r="298" spans="1:21" x14ac:dyDescent="0.25">
      <c r="A298" s="18" t="s">
        <v>628</v>
      </c>
      <c r="B298" s="18" t="s">
        <v>19</v>
      </c>
      <c r="C298" s="18" t="s">
        <v>20</v>
      </c>
      <c r="D298" s="18" t="s">
        <v>146</v>
      </c>
      <c r="E298" s="19" t="s">
        <v>644</v>
      </c>
      <c r="F298" s="18" t="s">
        <v>648</v>
      </c>
      <c r="G298" s="18" t="s">
        <v>57</v>
      </c>
      <c r="H298" s="9">
        <v>2350</v>
      </c>
      <c r="I298" s="56">
        <f t="shared" si="16"/>
        <v>17.625</v>
      </c>
      <c r="J298" s="21">
        <f t="shared" si="19"/>
        <v>2367.625</v>
      </c>
      <c r="K298" s="53">
        <f t="shared" si="17"/>
        <v>2491</v>
      </c>
      <c r="L298" s="22">
        <f t="shared" si="18"/>
        <v>73.375</v>
      </c>
      <c r="M298" s="16">
        <v>50</v>
      </c>
      <c r="N298" s="15">
        <v>1</v>
      </c>
      <c r="O298" s="15">
        <v>0</v>
      </c>
      <c r="P298" s="15">
        <v>1</v>
      </c>
      <c r="Q298" s="15"/>
      <c r="R298" s="16">
        <v>0</v>
      </c>
      <c r="S298" s="15">
        <v>6</v>
      </c>
      <c r="T298" s="16">
        <f>+N298+O298+P298+R298+S298</f>
        <v>8</v>
      </c>
      <c r="U298" s="17" t="s">
        <v>61</v>
      </c>
    </row>
    <row r="299" spans="1:21" x14ac:dyDescent="0.25">
      <c r="A299" s="18" t="s">
        <v>649</v>
      </c>
      <c r="B299" s="18" t="s">
        <v>268</v>
      </c>
      <c r="C299" s="18" t="s">
        <v>269</v>
      </c>
      <c r="D299" s="18" t="s">
        <v>650</v>
      </c>
      <c r="E299" s="19" t="s">
        <v>271</v>
      </c>
      <c r="F299" s="18" t="s">
        <v>651</v>
      </c>
      <c r="G299" s="18" t="s">
        <v>39</v>
      </c>
      <c r="H299" s="9">
        <v>3500</v>
      </c>
      <c r="I299" s="56">
        <f t="shared" si="16"/>
        <v>26.25</v>
      </c>
      <c r="J299" s="21">
        <f t="shared" si="19"/>
        <v>3526.25</v>
      </c>
      <c r="K299" s="53">
        <f t="shared" si="17"/>
        <v>3710</v>
      </c>
      <c r="L299" s="22">
        <f t="shared" si="18"/>
        <v>133.75</v>
      </c>
      <c r="M299" s="16">
        <v>50</v>
      </c>
      <c r="N299" s="15">
        <v>0</v>
      </c>
      <c r="O299" s="15">
        <v>0</v>
      </c>
      <c r="P299" s="15">
        <v>0</v>
      </c>
      <c r="Q299" s="15"/>
      <c r="R299" s="16">
        <v>0</v>
      </c>
      <c r="S299" s="15">
        <v>16</v>
      </c>
      <c r="T299" s="16">
        <f>+N299+O299+P299+R299+S299</f>
        <v>16</v>
      </c>
      <c r="U299" s="17" t="s">
        <v>614</v>
      </c>
    </row>
    <row r="300" spans="1:21" x14ac:dyDescent="0.25">
      <c r="A300" s="18" t="s">
        <v>649</v>
      </c>
      <c r="B300" s="18" t="s">
        <v>268</v>
      </c>
      <c r="C300" s="18" t="s">
        <v>269</v>
      </c>
      <c r="D300" s="18" t="s">
        <v>270</v>
      </c>
      <c r="E300" s="19" t="s">
        <v>271</v>
      </c>
      <c r="F300" s="18" t="s">
        <v>652</v>
      </c>
      <c r="G300" s="18" t="s">
        <v>39</v>
      </c>
      <c r="H300" s="9">
        <v>4500</v>
      </c>
      <c r="I300" s="56">
        <f t="shared" si="16"/>
        <v>33.75</v>
      </c>
      <c r="J300" s="21">
        <f t="shared" si="19"/>
        <v>4533.75</v>
      </c>
      <c r="K300" s="53">
        <f t="shared" si="17"/>
        <v>4770</v>
      </c>
      <c r="L300" s="22">
        <f t="shared" si="18"/>
        <v>186.25</v>
      </c>
      <c r="M300" s="16">
        <v>50</v>
      </c>
      <c r="N300" s="15">
        <v>0</v>
      </c>
      <c r="O300" s="15">
        <v>0</v>
      </c>
      <c r="P300" s="15">
        <v>0</v>
      </c>
      <c r="Q300" s="15"/>
      <c r="R300" s="16">
        <v>0</v>
      </c>
      <c r="S300" s="15">
        <v>9</v>
      </c>
      <c r="T300" s="16">
        <f>+N300+O300+P300+R300+S300</f>
        <v>9</v>
      </c>
      <c r="U300" s="17" t="s">
        <v>614</v>
      </c>
    </row>
    <row r="301" spans="1:21" x14ac:dyDescent="0.25">
      <c r="A301" s="18" t="s">
        <v>649</v>
      </c>
      <c r="B301" s="18" t="s">
        <v>78</v>
      </c>
      <c r="C301" s="18" t="s">
        <v>83</v>
      </c>
      <c r="D301" s="18" t="s">
        <v>293</v>
      </c>
      <c r="E301" s="19" t="s">
        <v>85</v>
      </c>
      <c r="F301" s="18" t="s">
        <v>653</v>
      </c>
      <c r="G301" s="18" t="s">
        <v>129</v>
      </c>
      <c r="H301" s="9">
        <v>5280</v>
      </c>
      <c r="I301" s="56">
        <f t="shared" si="16"/>
        <v>39.6</v>
      </c>
      <c r="J301" s="21">
        <f t="shared" si="19"/>
        <v>5319.6</v>
      </c>
      <c r="K301" s="53">
        <f t="shared" si="17"/>
        <v>5596.8</v>
      </c>
      <c r="L301" s="22">
        <f t="shared" si="18"/>
        <v>247.19999999999982</v>
      </c>
      <c r="M301" s="16">
        <v>30</v>
      </c>
      <c r="N301" s="15">
        <v>0</v>
      </c>
      <c r="O301" s="15">
        <v>0</v>
      </c>
      <c r="P301" s="15">
        <v>0</v>
      </c>
      <c r="Q301" s="15"/>
      <c r="R301" s="16">
        <v>0</v>
      </c>
      <c r="S301" s="15">
        <v>1</v>
      </c>
      <c r="T301" s="16">
        <f>+N301+O301+P301+R301+S301</f>
        <v>1</v>
      </c>
      <c r="U301" s="17" t="s">
        <v>614</v>
      </c>
    </row>
    <row r="302" spans="1:21" x14ac:dyDescent="0.25">
      <c r="A302" s="7" t="s">
        <v>649</v>
      </c>
      <c r="B302" s="7" t="s">
        <v>63</v>
      </c>
      <c r="C302" s="7" t="s">
        <v>64</v>
      </c>
      <c r="D302" s="7" t="s">
        <v>491</v>
      </c>
      <c r="E302" s="8" t="s">
        <v>654</v>
      </c>
      <c r="F302" s="7" t="s">
        <v>655</v>
      </c>
      <c r="G302" s="7" t="s">
        <v>129</v>
      </c>
      <c r="H302" s="9">
        <v>4500</v>
      </c>
      <c r="I302" s="56">
        <f t="shared" si="16"/>
        <v>33.75</v>
      </c>
      <c r="J302" s="11">
        <f t="shared" si="19"/>
        <v>4533.75</v>
      </c>
      <c r="K302" s="53">
        <f t="shared" si="17"/>
        <v>4770</v>
      </c>
      <c r="L302" s="13">
        <f t="shared" si="18"/>
        <v>206.25</v>
      </c>
      <c r="M302" s="14">
        <v>30</v>
      </c>
      <c r="N302" s="15">
        <v>1</v>
      </c>
      <c r="O302" s="15">
        <v>0</v>
      </c>
      <c r="P302" s="15">
        <v>0</v>
      </c>
      <c r="Q302" s="15"/>
      <c r="R302" s="16"/>
      <c r="S302" s="15">
        <v>0</v>
      </c>
      <c r="T302" s="16">
        <f>+N302+O302+P302+R302+S302</f>
        <v>1</v>
      </c>
      <c r="U302" s="17" t="s">
        <v>656</v>
      </c>
    </row>
    <row r="303" spans="1:21" x14ac:dyDescent="0.25">
      <c r="A303" s="18" t="s">
        <v>649</v>
      </c>
      <c r="B303" s="18" t="s">
        <v>87</v>
      </c>
      <c r="C303" s="18" t="s">
        <v>92</v>
      </c>
      <c r="D303" s="18"/>
      <c r="E303" s="19" t="s">
        <v>186</v>
      </c>
      <c r="F303" s="18" t="s">
        <v>657</v>
      </c>
      <c r="G303" s="18" t="s">
        <v>57</v>
      </c>
      <c r="H303" s="9">
        <v>1948</v>
      </c>
      <c r="I303" s="56">
        <f t="shared" si="16"/>
        <v>14.61</v>
      </c>
      <c r="J303" s="21">
        <f t="shared" si="19"/>
        <v>1962.61</v>
      </c>
      <c r="K303" s="53">
        <f t="shared" si="17"/>
        <v>2064.88</v>
      </c>
      <c r="L303" s="22">
        <f t="shared" si="18"/>
        <v>82.270000000000209</v>
      </c>
      <c r="M303" s="16">
        <v>20</v>
      </c>
      <c r="N303" s="15">
        <v>0</v>
      </c>
      <c r="O303" s="15">
        <v>1</v>
      </c>
      <c r="P303" s="15">
        <v>0</v>
      </c>
      <c r="Q303" s="15"/>
      <c r="R303" s="16">
        <v>0</v>
      </c>
      <c r="S303" s="15">
        <v>1</v>
      </c>
      <c r="T303" s="16">
        <f>+N303+O303+P303+R303+S303</f>
        <v>2</v>
      </c>
      <c r="U303" s="17" t="s">
        <v>656</v>
      </c>
    </row>
    <row r="304" spans="1:21" x14ac:dyDescent="0.25">
      <c r="A304" s="18" t="s">
        <v>649</v>
      </c>
      <c r="B304" s="18" t="s">
        <v>87</v>
      </c>
      <c r="C304" s="18" t="s">
        <v>92</v>
      </c>
      <c r="D304" s="18"/>
      <c r="E304" s="19" t="s">
        <v>97</v>
      </c>
      <c r="F304" s="18" t="s">
        <v>658</v>
      </c>
      <c r="G304" s="18" t="s">
        <v>57</v>
      </c>
      <c r="H304" s="9">
        <v>3563</v>
      </c>
      <c r="I304" s="56">
        <f t="shared" si="16"/>
        <v>26.7225</v>
      </c>
      <c r="J304" s="21">
        <f t="shared" si="19"/>
        <v>3589.7224999999999</v>
      </c>
      <c r="K304" s="53">
        <f t="shared" si="17"/>
        <v>3776.78</v>
      </c>
      <c r="L304" s="22">
        <f t="shared" si="18"/>
        <v>167.05750000000035</v>
      </c>
      <c r="M304" s="16">
        <v>20</v>
      </c>
      <c r="N304" s="15">
        <v>1</v>
      </c>
      <c r="O304" s="15">
        <v>0</v>
      </c>
      <c r="P304" s="15">
        <v>0</v>
      </c>
      <c r="Q304" s="15"/>
      <c r="R304" s="16">
        <v>0</v>
      </c>
      <c r="S304" s="15">
        <v>0</v>
      </c>
      <c r="T304" s="16">
        <f>+N304+O304+P304+R304+S304</f>
        <v>1</v>
      </c>
      <c r="U304" s="17" t="s">
        <v>656</v>
      </c>
    </row>
    <row r="305" spans="1:21" x14ac:dyDescent="0.25">
      <c r="A305" s="18" t="s">
        <v>649</v>
      </c>
      <c r="B305" s="18" t="s">
        <v>87</v>
      </c>
      <c r="C305" s="18" t="s">
        <v>92</v>
      </c>
      <c r="D305" s="18"/>
      <c r="E305" s="19" t="s">
        <v>193</v>
      </c>
      <c r="F305" s="18" t="s">
        <v>659</v>
      </c>
      <c r="G305" s="18" t="s">
        <v>57</v>
      </c>
      <c r="H305" s="9">
        <v>4275</v>
      </c>
      <c r="I305" s="56">
        <f t="shared" si="16"/>
        <v>32.0625</v>
      </c>
      <c r="J305" s="21">
        <f t="shared" si="19"/>
        <v>4307.0625</v>
      </c>
      <c r="K305" s="53">
        <f t="shared" si="17"/>
        <v>4531.5</v>
      </c>
      <c r="L305" s="22">
        <f t="shared" si="18"/>
        <v>204.4375</v>
      </c>
      <c r="M305" s="16">
        <v>20</v>
      </c>
      <c r="N305" s="15">
        <v>1</v>
      </c>
      <c r="O305" s="15">
        <v>1</v>
      </c>
      <c r="P305" s="15">
        <v>0</v>
      </c>
      <c r="Q305" s="15"/>
      <c r="R305" s="16">
        <v>0</v>
      </c>
      <c r="S305" s="15">
        <v>0</v>
      </c>
      <c r="T305" s="16">
        <f>+N305+O305+P305+R305+S305</f>
        <v>2</v>
      </c>
      <c r="U305" s="17" t="s">
        <v>656</v>
      </c>
    </row>
    <row r="306" spans="1:21" x14ac:dyDescent="0.25">
      <c r="A306" s="18" t="s">
        <v>649</v>
      </c>
      <c r="B306" s="18" t="s">
        <v>87</v>
      </c>
      <c r="C306" s="18" t="s">
        <v>92</v>
      </c>
      <c r="D306" s="18"/>
      <c r="E306" s="19" t="s">
        <v>97</v>
      </c>
      <c r="F306" s="18" t="s">
        <v>660</v>
      </c>
      <c r="G306" s="18" t="s">
        <v>57</v>
      </c>
      <c r="H306" s="9">
        <v>6000</v>
      </c>
      <c r="I306" s="56">
        <f t="shared" si="16"/>
        <v>45</v>
      </c>
      <c r="J306" s="21">
        <f t="shared" si="19"/>
        <v>6045</v>
      </c>
      <c r="K306" s="53">
        <f t="shared" si="17"/>
        <v>6360</v>
      </c>
      <c r="L306" s="22">
        <f t="shared" si="18"/>
        <v>245</v>
      </c>
      <c r="M306" s="16">
        <v>70</v>
      </c>
      <c r="N306" s="15">
        <v>0</v>
      </c>
      <c r="O306" s="15">
        <v>1</v>
      </c>
      <c r="P306" s="15">
        <v>0</v>
      </c>
      <c r="Q306" s="15"/>
      <c r="R306" s="16">
        <v>0</v>
      </c>
      <c r="S306" s="15">
        <v>2</v>
      </c>
      <c r="T306" s="16">
        <f>+N306+O306+P306+R306+S306</f>
        <v>3</v>
      </c>
      <c r="U306" s="17" t="s">
        <v>656</v>
      </c>
    </row>
    <row r="307" spans="1:21" x14ac:dyDescent="0.25">
      <c r="A307" s="18" t="s">
        <v>649</v>
      </c>
      <c r="B307" s="18" t="s">
        <v>87</v>
      </c>
      <c r="C307" s="18" t="s">
        <v>138</v>
      </c>
      <c r="D307" s="18"/>
      <c r="E307" s="19" t="s">
        <v>661</v>
      </c>
      <c r="F307" s="18" t="s">
        <v>662</v>
      </c>
      <c r="G307" s="18" t="s">
        <v>57</v>
      </c>
      <c r="H307" s="9">
        <v>6840</v>
      </c>
      <c r="I307" s="56">
        <f t="shared" si="16"/>
        <v>51.3</v>
      </c>
      <c r="J307" s="21">
        <f t="shared" si="19"/>
        <v>6891.3</v>
      </c>
      <c r="K307" s="53">
        <f t="shared" si="17"/>
        <v>7250.4</v>
      </c>
      <c r="L307" s="22">
        <f t="shared" si="18"/>
        <v>309.09999999999945</v>
      </c>
      <c r="M307" s="16">
        <v>50</v>
      </c>
      <c r="N307" s="15">
        <v>0</v>
      </c>
      <c r="O307" s="15">
        <v>1</v>
      </c>
      <c r="P307" s="15">
        <v>0</v>
      </c>
      <c r="Q307" s="15"/>
      <c r="R307" s="16">
        <v>0</v>
      </c>
      <c r="S307" s="15">
        <v>0</v>
      </c>
      <c r="T307" s="16">
        <f>+N307+O307+P307+R307+S307</f>
        <v>1</v>
      </c>
      <c r="U307" s="17" t="s">
        <v>663</v>
      </c>
    </row>
    <row r="308" spans="1:21" x14ac:dyDescent="0.25">
      <c r="A308" s="18" t="s">
        <v>664</v>
      </c>
      <c r="B308" s="18" t="s">
        <v>47</v>
      </c>
      <c r="C308" s="18" t="s">
        <v>48</v>
      </c>
      <c r="D308" s="18" t="s">
        <v>49</v>
      </c>
      <c r="E308" s="19" t="s">
        <v>522</v>
      </c>
      <c r="F308" s="18" t="s">
        <v>665</v>
      </c>
      <c r="G308" s="18" t="s">
        <v>24</v>
      </c>
      <c r="H308" s="9">
        <v>3000</v>
      </c>
      <c r="I308" s="56">
        <f t="shared" si="16"/>
        <v>22.5</v>
      </c>
      <c r="J308" s="21">
        <f t="shared" si="19"/>
        <v>3022.5</v>
      </c>
      <c r="K308" s="53">
        <f t="shared" si="17"/>
        <v>3180</v>
      </c>
      <c r="L308" s="22">
        <f t="shared" si="18"/>
        <v>127.5</v>
      </c>
      <c r="M308" s="16">
        <v>30</v>
      </c>
      <c r="N308" s="15">
        <v>0</v>
      </c>
      <c r="O308" s="15">
        <v>1</v>
      </c>
      <c r="P308" s="15">
        <v>0</v>
      </c>
      <c r="Q308" s="15"/>
      <c r="R308" s="16">
        <v>0</v>
      </c>
      <c r="S308" s="15">
        <v>0</v>
      </c>
      <c r="T308" s="16">
        <f>+N308+O308+P308+R308+S308</f>
        <v>1</v>
      </c>
      <c r="U308" s="17" t="s">
        <v>666</v>
      </c>
    </row>
    <row r="309" spans="1:21" x14ac:dyDescent="0.25">
      <c r="A309" s="18" t="s">
        <v>664</v>
      </c>
      <c r="B309" s="18" t="s">
        <v>19</v>
      </c>
      <c r="C309" s="18" t="s">
        <v>48</v>
      </c>
      <c r="D309" s="18" t="s">
        <v>21</v>
      </c>
      <c r="E309" s="19"/>
      <c r="F309" s="18" t="s">
        <v>667</v>
      </c>
      <c r="G309" s="18" t="s">
        <v>24</v>
      </c>
      <c r="H309" s="9">
        <v>1500</v>
      </c>
      <c r="I309" s="56">
        <f t="shared" si="16"/>
        <v>11.25</v>
      </c>
      <c r="J309" s="21">
        <f t="shared" si="19"/>
        <v>1511.25</v>
      </c>
      <c r="K309" s="53">
        <f t="shared" si="17"/>
        <v>1590</v>
      </c>
      <c r="L309" s="22">
        <f t="shared" si="18"/>
        <v>48.75</v>
      </c>
      <c r="M309" s="16">
        <v>30</v>
      </c>
      <c r="N309" s="15">
        <v>1</v>
      </c>
      <c r="O309" s="15">
        <v>0</v>
      </c>
      <c r="P309" s="15">
        <v>0</v>
      </c>
      <c r="Q309" s="15"/>
      <c r="R309" s="16">
        <v>0</v>
      </c>
      <c r="S309" s="15">
        <v>0</v>
      </c>
      <c r="T309" s="16">
        <f>+N309+O309+P309+R309+S309</f>
        <v>1</v>
      </c>
      <c r="U309" s="17" t="s">
        <v>666</v>
      </c>
    </row>
    <row r="310" spans="1:21" x14ac:dyDescent="0.25">
      <c r="A310" s="18" t="s">
        <v>664</v>
      </c>
      <c r="B310" s="18" t="s">
        <v>19</v>
      </c>
      <c r="C310" s="18" t="s">
        <v>48</v>
      </c>
      <c r="D310" s="18" t="s">
        <v>668</v>
      </c>
      <c r="E310" s="19" t="s">
        <v>669</v>
      </c>
      <c r="F310" s="18" t="s">
        <v>670</v>
      </c>
      <c r="G310" s="18" t="s">
        <v>24</v>
      </c>
      <c r="H310" s="9">
        <v>1800</v>
      </c>
      <c r="I310" s="56">
        <f t="shared" si="16"/>
        <v>13.5</v>
      </c>
      <c r="J310" s="21">
        <f t="shared" si="19"/>
        <v>1813.5</v>
      </c>
      <c r="K310" s="53">
        <f t="shared" si="17"/>
        <v>1908</v>
      </c>
      <c r="L310" s="22">
        <f t="shared" si="18"/>
        <v>84.5</v>
      </c>
      <c r="M310" s="16">
        <v>10</v>
      </c>
      <c r="N310" s="15">
        <v>1</v>
      </c>
      <c r="O310" s="15">
        <v>0</v>
      </c>
      <c r="P310" s="15">
        <v>0</v>
      </c>
      <c r="Q310" s="15"/>
      <c r="R310" s="16">
        <v>0</v>
      </c>
      <c r="S310" s="15">
        <v>0</v>
      </c>
      <c r="T310" s="16">
        <f>+N310+O310+P310+R310+S310</f>
        <v>1</v>
      </c>
      <c r="U310" s="17" t="s">
        <v>666</v>
      </c>
    </row>
    <row r="311" spans="1:21" x14ac:dyDescent="0.25">
      <c r="A311" s="18" t="s">
        <v>664</v>
      </c>
      <c r="B311" s="18" t="s">
        <v>19</v>
      </c>
      <c r="C311" s="18" t="s">
        <v>48</v>
      </c>
      <c r="D311" s="18" t="s">
        <v>146</v>
      </c>
      <c r="E311" s="19" t="s">
        <v>669</v>
      </c>
      <c r="F311" s="18" t="s">
        <v>671</v>
      </c>
      <c r="G311" s="18" t="s">
        <v>24</v>
      </c>
      <c r="H311" s="9">
        <v>2500</v>
      </c>
      <c r="I311" s="56">
        <f t="shared" si="16"/>
        <v>18.75</v>
      </c>
      <c r="J311" s="21">
        <f t="shared" si="19"/>
        <v>2518.75</v>
      </c>
      <c r="K311" s="53">
        <f t="shared" si="17"/>
        <v>2650</v>
      </c>
      <c r="L311" s="22">
        <f t="shared" si="18"/>
        <v>101.25</v>
      </c>
      <c r="M311" s="16">
        <v>30</v>
      </c>
      <c r="N311" s="15">
        <v>1</v>
      </c>
      <c r="O311" s="15">
        <v>0</v>
      </c>
      <c r="P311" s="15">
        <v>0</v>
      </c>
      <c r="Q311" s="15"/>
      <c r="R311" s="16">
        <v>0</v>
      </c>
      <c r="S311" s="15">
        <v>0</v>
      </c>
      <c r="T311" s="16">
        <f>+N311+O311+P311+R311+S311</f>
        <v>1</v>
      </c>
      <c r="U311" s="17" t="s">
        <v>666</v>
      </c>
    </row>
    <row r="312" spans="1:21" x14ac:dyDescent="0.25">
      <c r="A312" s="18" t="s">
        <v>672</v>
      </c>
      <c r="B312" s="18" t="s">
        <v>148</v>
      </c>
      <c r="C312" s="18" t="s">
        <v>355</v>
      </c>
      <c r="D312" s="18" t="s">
        <v>673</v>
      </c>
      <c r="E312" s="19" t="s">
        <v>149</v>
      </c>
      <c r="F312" s="18" t="s">
        <v>674</v>
      </c>
      <c r="G312" s="18" t="s">
        <v>333</v>
      </c>
      <c r="H312" s="9">
        <v>3337</v>
      </c>
      <c r="I312" s="56">
        <f t="shared" si="16"/>
        <v>25.0275</v>
      </c>
      <c r="J312" s="21">
        <f t="shared" si="19"/>
        <v>3362.0275000000001</v>
      </c>
      <c r="K312" s="53">
        <f t="shared" si="17"/>
        <v>3537.22</v>
      </c>
      <c r="L312" s="22">
        <f t="shared" si="18"/>
        <v>145.19249999999965</v>
      </c>
      <c r="M312" s="16">
        <v>30</v>
      </c>
      <c r="N312" s="15">
        <v>1</v>
      </c>
      <c r="O312" s="15">
        <v>0</v>
      </c>
      <c r="P312" s="15">
        <v>0</v>
      </c>
      <c r="Q312" s="15"/>
      <c r="R312" s="16">
        <v>0</v>
      </c>
      <c r="S312" s="15">
        <v>1</v>
      </c>
      <c r="T312" s="16">
        <f>+N312+O312+P312+R312+S312</f>
        <v>2</v>
      </c>
      <c r="U312" s="17" t="s">
        <v>25</v>
      </c>
    </row>
    <row r="313" spans="1:21" x14ac:dyDescent="0.25">
      <c r="A313" s="18" t="s">
        <v>675</v>
      </c>
      <c r="B313" s="18" t="s">
        <v>78</v>
      </c>
      <c r="C313" s="18" t="s">
        <v>79</v>
      </c>
      <c r="D313" s="18" t="s">
        <v>114</v>
      </c>
      <c r="E313" s="19" t="s">
        <v>473</v>
      </c>
      <c r="F313" s="18" t="s">
        <v>676</v>
      </c>
      <c r="G313" s="18" t="s">
        <v>39</v>
      </c>
      <c r="H313" s="9">
        <v>5664</v>
      </c>
      <c r="I313" s="56">
        <f t="shared" si="16"/>
        <v>42.48</v>
      </c>
      <c r="J313" s="21">
        <f t="shared" si="19"/>
        <v>5706.48</v>
      </c>
      <c r="K313" s="53">
        <f t="shared" si="17"/>
        <v>6003.84</v>
      </c>
      <c r="L313" s="22">
        <f t="shared" si="18"/>
        <v>247.36000000000058</v>
      </c>
      <c r="M313" s="16">
        <v>50</v>
      </c>
      <c r="N313" s="15">
        <v>1</v>
      </c>
      <c r="O313" s="15">
        <v>0</v>
      </c>
      <c r="P313" s="15">
        <v>0</v>
      </c>
      <c r="Q313" s="15"/>
      <c r="R313" s="16">
        <v>0</v>
      </c>
      <c r="S313" s="15">
        <v>2</v>
      </c>
      <c r="T313" s="16">
        <f>+N313+O313+P313+R313+S313</f>
        <v>3</v>
      </c>
      <c r="U313" s="17" t="s">
        <v>68</v>
      </c>
    </row>
    <row r="314" spans="1:21" x14ac:dyDescent="0.25">
      <c r="A314" s="18" t="s">
        <v>675</v>
      </c>
      <c r="B314" s="18" t="s">
        <v>205</v>
      </c>
      <c r="C314" s="18" t="s">
        <v>79</v>
      </c>
      <c r="D314" s="18" t="s">
        <v>677</v>
      </c>
      <c r="E314" s="19" t="s">
        <v>473</v>
      </c>
      <c r="F314" s="18" t="s">
        <v>678</v>
      </c>
      <c r="G314" s="18" t="s">
        <v>39</v>
      </c>
      <c r="H314" s="9">
        <v>6940</v>
      </c>
      <c r="I314" s="56">
        <f t="shared" si="16"/>
        <v>52.05</v>
      </c>
      <c r="J314" s="21">
        <f t="shared" si="19"/>
        <v>6992.05</v>
      </c>
      <c r="K314" s="53">
        <f t="shared" si="17"/>
        <v>7356.4</v>
      </c>
      <c r="L314" s="22">
        <f t="shared" si="18"/>
        <v>314.34999999999945</v>
      </c>
      <c r="M314" s="16">
        <v>50</v>
      </c>
      <c r="N314" s="15">
        <v>1</v>
      </c>
      <c r="O314" s="15">
        <v>0</v>
      </c>
      <c r="P314" s="15">
        <v>0</v>
      </c>
      <c r="Q314" s="15"/>
      <c r="R314" s="16">
        <v>0</v>
      </c>
      <c r="S314" s="15">
        <v>2</v>
      </c>
      <c r="T314" s="16">
        <f>+N314+O314+P314+R314+S314</f>
        <v>3</v>
      </c>
      <c r="U314" s="17" t="s">
        <v>68</v>
      </c>
    </row>
    <row r="315" spans="1:21" x14ac:dyDescent="0.25">
      <c r="A315" s="18" t="s">
        <v>675</v>
      </c>
      <c r="B315" s="18" t="s">
        <v>78</v>
      </c>
      <c r="C315" s="18" t="s">
        <v>83</v>
      </c>
      <c r="D315" s="18" t="s">
        <v>486</v>
      </c>
      <c r="E315" s="19" t="s">
        <v>85</v>
      </c>
      <c r="F315" s="18" t="s">
        <v>679</v>
      </c>
      <c r="G315" s="18" t="s">
        <v>39</v>
      </c>
      <c r="H315" s="9">
        <v>3044</v>
      </c>
      <c r="I315" s="56">
        <f t="shared" si="16"/>
        <v>22.83</v>
      </c>
      <c r="J315" s="21">
        <f t="shared" si="19"/>
        <v>3066.83</v>
      </c>
      <c r="K315" s="53">
        <f t="shared" si="17"/>
        <v>3226.64</v>
      </c>
      <c r="L315" s="22">
        <f t="shared" si="18"/>
        <v>129.80999999999995</v>
      </c>
      <c r="M315" s="16">
        <v>30</v>
      </c>
      <c r="N315" s="15">
        <v>1</v>
      </c>
      <c r="O315" s="15">
        <v>0</v>
      </c>
      <c r="P315" s="15">
        <v>0</v>
      </c>
      <c r="Q315" s="15"/>
      <c r="R315" s="16">
        <v>0</v>
      </c>
      <c r="S315" s="15">
        <v>2</v>
      </c>
      <c r="T315" s="16">
        <f>+N315+O315+P315+R315+S315</f>
        <v>3</v>
      </c>
      <c r="U315" s="17" t="s">
        <v>68</v>
      </c>
    </row>
    <row r="316" spans="1:21" x14ac:dyDescent="0.25">
      <c r="A316" s="18" t="s">
        <v>675</v>
      </c>
      <c r="B316" s="18" t="s">
        <v>47</v>
      </c>
      <c r="C316" s="18" t="s">
        <v>105</v>
      </c>
      <c r="D316" s="18" t="s">
        <v>680</v>
      </c>
      <c r="E316" s="19"/>
      <c r="F316" s="18" t="s">
        <v>681</v>
      </c>
      <c r="G316" s="18" t="s">
        <v>39</v>
      </c>
      <c r="H316" s="9">
        <v>920</v>
      </c>
      <c r="I316" s="56">
        <f t="shared" si="16"/>
        <v>6.8999999999999995</v>
      </c>
      <c r="J316" s="21">
        <f t="shared" si="19"/>
        <v>926.9</v>
      </c>
      <c r="K316" s="53">
        <f t="shared" si="17"/>
        <v>975.2</v>
      </c>
      <c r="L316" s="22">
        <f t="shared" si="18"/>
        <v>18.300000000000068</v>
      </c>
      <c r="M316" s="16">
        <v>30</v>
      </c>
      <c r="N316" s="15">
        <v>1</v>
      </c>
      <c r="O316" s="15">
        <v>0</v>
      </c>
      <c r="P316" s="15">
        <v>0</v>
      </c>
      <c r="Q316" s="15"/>
      <c r="R316" s="16">
        <v>0</v>
      </c>
      <c r="S316" s="15">
        <v>5</v>
      </c>
      <c r="T316" s="16">
        <f>+N316+O316+P316+R316+S316</f>
        <v>6</v>
      </c>
      <c r="U316" s="17" t="s">
        <v>68</v>
      </c>
    </row>
    <row r="317" spans="1:21" x14ac:dyDescent="0.25">
      <c r="A317" s="18" t="s">
        <v>675</v>
      </c>
      <c r="B317" s="18" t="s">
        <v>47</v>
      </c>
      <c r="C317" s="18" t="s">
        <v>105</v>
      </c>
      <c r="D317" s="18" t="s">
        <v>680</v>
      </c>
      <c r="E317" s="19" t="s">
        <v>682</v>
      </c>
      <c r="F317" s="18" t="s">
        <v>683</v>
      </c>
      <c r="G317" s="18" t="s">
        <v>166</v>
      </c>
      <c r="H317" s="9">
        <v>1062</v>
      </c>
      <c r="I317" s="56">
        <f t="shared" si="16"/>
        <v>7.9649999999999999</v>
      </c>
      <c r="J317" s="21">
        <f t="shared" si="19"/>
        <v>1069.9649999999999</v>
      </c>
      <c r="K317" s="53">
        <f t="shared" si="17"/>
        <v>1125.72</v>
      </c>
      <c r="L317" s="22">
        <f t="shared" si="18"/>
        <v>35.755000000000109</v>
      </c>
      <c r="M317" s="16">
        <v>20</v>
      </c>
      <c r="N317" s="15">
        <v>1</v>
      </c>
      <c r="O317" s="15">
        <v>0</v>
      </c>
      <c r="P317" s="15">
        <v>0</v>
      </c>
      <c r="Q317" s="15"/>
      <c r="R317" s="16">
        <v>0</v>
      </c>
      <c r="S317" s="15">
        <v>0</v>
      </c>
      <c r="T317" s="16">
        <f>+N317+O317+P317+R317+S317</f>
        <v>1</v>
      </c>
      <c r="U317" s="17" t="s">
        <v>68</v>
      </c>
    </row>
    <row r="318" spans="1:21" x14ac:dyDescent="0.25">
      <c r="A318" s="18" t="s">
        <v>675</v>
      </c>
      <c r="B318" s="18" t="s">
        <v>47</v>
      </c>
      <c r="C318" s="18" t="s">
        <v>105</v>
      </c>
      <c r="D318" s="18" t="s">
        <v>383</v>
      </c>
      <c r="E318" s="19" t="s">
        <v>682</v>
      </c>
      <c r="F318" s="18" t="s">
        <v>684</v>
      </c>
      <c r="G318" s="18" t="s">
        <v>166</v>
      </c>
      <c r="H318" s="9">
        <v>1416</v>
      </c>
      <c r="I318" s="56">
        <f t="shared" si="16"/>
        <v>10.62</v>
      </c>
      <c r="J318" s="21">
        <f t="shared" si="19"/>
        <v>1426.62</v>
      </c>
      <c r="K318" s="53">
        <f t="shared" si="17"/>
        <v>1500.96</v>
      </c>
      <c r="L318" s="22">
        <f t="shared" si="18"/>
        <v>54.340000000000146</v>
      </c>
      <c r="M318" s="16">
        <v>20</v>
      </c>
      <c r="N318" s="15">
        <v>0</v>
      </c>
      <c r="O318" s="15">
        <v>0</v>
      </c>
      <c r="P318" s="15">
        <v>1</v>
      </c>
      <c r="Q318" s="15"/>
      <c r="R318" s="16">
        <v>0</v>
      </c>
      <c r="S318" s="15">
        <v>3</v>
      </c>
      <c r="T318" s="16">
        <f>+N318+O318+P318+R318+S318</f>
        <v>4</v>
      </c>
      <c r="U318" s="17" t="s">
        <v>68</v>
      </c>
    </row>
    <row r="319" spans="1:21" x14ac:dyDescent="0.25">
      <c r="A319" s="7" t="s">
        <v>685</v>
      </c>
      <c r="B319" s="7" t="s">
        <v>19</v>
      </c>
      <c r="C319" s="7" t="s">
        <v>20</v>
      </c>
      <c r="D319" s="7" t="s">
        <v>21</v>
      </c>
      <c r="E319" s="8" t="s">
        <v>686</v>
      </c>
      <c r="F319" s="7" t="s">
        <v>687</v>
      </c>
      <c r="G319" s="7" t="s">
        <v>57</v>
      </c>
      <c r="H319" s="9">
        <v>2100</v>
      </c>
      <c r="I319" s="56">
        <f t="shared" si="16"/>
        <v>15.75</v>
      </c>
      <c r="J319" s="11">
        <f t="shared" si="19"/>
        <v>2115.75</v>
      </c>
      <c r="K319" s="53">
        <f t="shared" si="17"/>
        <v>2226</v>
      </c>
      <c r="L319" s="13">
        <f t="shared" si="18"/>
        <v>60.25</v>
      </c>
      <c r="M319" s="14">
        <v>50</v>
      </c>
      <c r="N319" s="15">
        <v>0</v>
      </c>
      <c r="O319" s="15">
        <v>0</v>
      </c>
      <c r="P319" s="15">
        <v>0</v>
      </c>
      <c r="Q319" s="15"/>
      <c r="R319" s="16">
        <v>0</v>
      </c>
      <c r="S319" s="15">
        <v>11</v>
      </c>
      <c r="T319" s="16">
        <f>+N319+O319+P319+R319+S319</f>
        <v>11</v>
      </c>
      <c r="U319" s="17" t="s">
        <v>688</v>
      </c>
    </row>
    <row r="320" spans="1:21" x14ac:dyDescent="0.25">
      <c r="A320" s="18" t="s">
        <v>685</v>
      </c>
      <c r="B320" s="18" t="s">
        <v>52</v>
      </c>
      <c r="C320" s="18" t="s">
        <v>53</v>
      </c>
      <c r="D320" s="18" t="s">
        <v>243</v>
      </c>
      <c r="E320" s="19" t="s">
        <v>327</v>
      </c>
      <c r="F320" s="18" t="s">
        <v>689</v>
      </c>
      <c r="G320" s="18" t="s">
        <v>24</v>
      </c>
      <c r="H320" s="9">
        <v>1660</v>
      </c>
      <c r="I320" s="56">
        <f t="shared" si="16"/>
        <v>12.45</v>
      </c>
      <c r="J320" s="21">
        <f t="shared" si="19"/>
        <v>1672.45</v>
      </c>
      <c r="K320" s="53">
        <f t="shared" si="17"/>
        <v>1759.6</v>
      </c>
      <c r="L320" s="22">
        <f t="shared" si="18"/>
        <v>67.149999999999864</v>
      </c>
      <c r="M320" s="16">
        <v>20</v>
      </c>
      <c r="N320" s="15">
        <v>0</v>
      </c>
      <c r="O320" s="15">
        <v>0</v>
      </c>
      <c r="P320" s="15">
        <v>1</v>
      </c>
      <c r="Q320" s="15"/>
      <c r="R320" s="16">
        <v>0</v>
      </c>
      <c r="S320" s="15">
        <v>0</v>
      </c>
      <c r="T320" s="16">
        <f>+N320+O320+P320+R320+S320</f>
        <v>1</v>
      </c>
      <c r="U320" s="17" t="s">
        <v>688</v>
      </c>
    </row>
    <row r="321" spans="1:21" x14ac:dyDescent="0.25">
      <c r="A321" s="18" t="s">
        <v>685</v>
      </c>
      <c r="B321" s="18" t="s">
        <v>52</v>
      </c>
      <c r="C321" s="18" t="s">
        <v>53</v>
      </c>
      <c r="D321" s="18" t="s">
        <v>111</v>
      </c>
      <c r="E321" s="19" t="s">
        <v>327</v>
      </c>
      <c r="F321" s="18" t="s">
        <v>690</v>
      </c>
      <c r="G321" s="18" t="s">
        <v>24</v>
      </c>
      <c r="H321" s="9">
        <v>2060</v>
      </c>
      <c r="I321" s="56">
        <f t="shared" si="16"/>
        <v>15.45</v>
      </c>
      <c r="J321" s="21">
        <f t="shared" si="19"/>
        <v>2075.4499999999998</v>
      </c>
      <c r="K321" s="53">
        <f t="shared" si="17"/>
        <v>2183.6</v>
      </c>
      <c r="L321" s="22">
        <f t="shared" si="18"/>
        <v>88.150000000000091</v>
      </c>
      <c r="M321" s="16">
        <v>20</v>
      </c>
      <c r="N321" s="15">
        <v>2</v>
      </c>
      <c r="O321" s="15">
        <v>1</v>
      </c>
      <c r="P321" s="15">
        <v>1</v>
      </c>
      <c r="Q321" s="15"/>
      <c r="R321" s="16">
        <v>0</v>
      </c>
      <c r="S321" s="15">
        <v>0</v>
      </c>
      <c r="T321" s="16">
        <f>+N321+O321+P321+R321+S321</f>
        <v>4</v>
      </c>
      <c r="U321" s="17" t="s">
        <v>688</v>
      </c>
    </row>
    <row r="322" spans="1:21" x14ac:dyDescent="0.25">
      <c r="A322" s="18" t="s">
        <v>685</v>
      </c>
      <c r="B322" s="18" t="s">
        <v>19</v>
      </c>
      <c r="C322" s="18" t="s">
        <v>48</v>
      </c>
      <c r="D322" s="18" t="s">
        <v>146</v>
      </c>
      <c r="E322" s="19" t="s">
        <v>691</v>
      </c>
      <c r="F322" s="18" t="s">
        <v>692</v>
      </c>
      <c r="G322" s="18" t="s">
        <v>24</v>
      </c>
      <c r="H322" s="9">
        <v>2010</v>
      </c>
      <c r="I322" s="56">
        <f t="shared" si="16"/>
        <v>15.074999999999999</v>
      </c>
      <c r="J322" s="21">
        <f t="shared" si="19"/>
        <v>2025.075</v>
      </c>
      <c r="K322" s="53">
        <f t="shared" si="17"/>
        <v>2130.6</v>
      </c>
      <c r="L322" s="22">
        <f t="shared" si="18"/>
        <v>55.524999999999864</v>
      </c>
      <c r="M322" s="16">
        <v>50</v>
      </c>
      <c r="N322" s="15">
        <v>1</v>
      </c>
      <c r="O322" s="15">
        <v>0</v>
      </c>
      <c r="P322" s="15">
        <v>0</v>
      </c>
      <c r="Q322" s="15"/>
      <c r="R322" s="16">
        <v>0</v>
      </c>
      <c r="S322" s="15">
        <v>0</v>
      </c>
      <c r="T322" s="16">
        <f>+N322+O322+P322+R322+S322</f>
        <v>1</v>
      </c>
      <c r="U322" s="17" t="s">
        <v>688</v>
      </c>
    </row>
    <row r="323" spans="1:21" x14ac:dyDescent="0.25">
      <c r="A323" s="7" t="s">
        <v>693</v>
      </c>
      <c r="B323" s="7" t="s">
        <v>268</v>
      </c>
      <c r="C323" s="7" t="s">
        <v>269</v>
      </c>
      <c r="D323" s="7" t="s">
        <v>694</v>
      </c>
      <c r="E323" s="8" t="s">
        <v>695</v>
      </c>
      <c r="F323" s="7" t="s">
        <v>696</v>
      </c>
      <c r="G323" s="7" t="s">
        <v>39</v>
      </c>
      <c r="H323" s="44">
        <v>3200</v>
      </c>
      <c r="I323" s="56">
        <f t="shared" ref="I323:I334" si="20">+(H323*0.75%)</f>
        <v>24</v>
      </c>
      <c r="J323" s="11">
        <f t="shared" si="19"/>
        <v>3224</v>
      </c>
      <c r="K323" s="53">
        <f t="shared" ref="K323:K334" si="21">+((H323*6%)+H323)</f>
        <v>3392</v>
      </c>
      <c r="L323" s="13">
        <f t="shared" si="18"/>
        <v>118</v>
      </c>
      <c r="M323" s="14">
        <v>50</v>
      </c>
      <c r="N323" s="15">
        <v>1</v>
      </c>
      <c r="O323" s="15">
        <v>0</v>
      </c>
      <c r="P323" s="15">
        <v>0</v>
      </c>
      <c r="Q323" s="15"/>
      <c r="R323" s="16">
        <v>0</v>
      </c>
      <c r="S323" s="15">
        <v>7</v>
      </c>
      <c r="T323" s="16">
        <f>+N323+O323+P323+R323+S323</f>
        <v>8</v>
      </c>
      <c r="U323" s="17" t="s">
        <v>190</v>
      </c>
    </row>
    <row r="324" spans="1:21" x14ac:dyDescent="0.25">
      <c r="A324" s="18" t="s">
        <v>693</v>
      </c>
      <c r="B324" s="18" t="s">
        <v>47</v>
      </c>
      <c r="C324" s="18" t="s">
        <v>105</v>
      </c>
      <c r="D324" s="18" t="s">
        <v>106</v>
      </c>
      <c r="E324" s="19"/>
      <c r="F324" s="18" t="s">
        <v>697</v>
      </c>
      <c r="G324" s="18" t="s">
        <v>166</v>
      </c>
      <c r="H324" s="44">
        <v>850</v>
      </c>
      <c r="I324" s="56">
        <f t="shared" si="20"/>
        <v>6.375</v>
      </c>
      <c r="J324" s="21">
        <f t="shared" si="19"/>
        <v>856.375</v>
      </c>
      <c r="K324" s="53">
        <f t="shared" si="21"/>
        <v>901</v>
      </c>
      <c r="L324" s="22">
        <f t="shared" si="18"/>
        <v>24.625</v>
      </c>
      <c r="M324" s="16">
        <v>20</v>
      </c>
      <c r="N324" s="15">
        <v>0</v>
      </c>
      <c r="O324" s="15">
        <v>0</v>
      </c>
      <c r="P324" s="15">
        <v>1</v>
      </c>
      <c r="Q324" s="15"/>
      <c r="R324" s="16">
        <v>0</v>
      </c>
      <c r="S324" s="15">
        <v>11</v>
      </c>
      <c r="T324" s="16">
        <f>+N324+O324+P324+R324+S324</f>
        <v>12</v>
      </c>
      <c r="U324" s="38" t="s">
        <v>190</v>
      </c>
    </row>
    <row r="325" spans="1:21" x14ac:dyDescent="0.25">
      <c r="A325" s="18" t="s">
        <v>693</v>
      </c>
      <c r="B325" s="18" t="s">
        <v>47</v>
      </c>
      <c r="C325" s="18" t="s">
        <v>105</v>
      </c>
      <c r="D325" s="18" t="s">
        <v>698</v>
      </c>
      <c r="E325" s="19"/>
      <c r="F325" s="18" t="s">
        <v>699</v>
      </c>
      <c r="G325" s="18" t="s">
        <v>166</v>
      </c>
      <c r="H325" s="44">
        <v>1200</v>
      </c>
      <c r="I325" s="56">
        <f t="shared" si="20"/>
        <v>9</v>
      </c>
      <c r="J325" s="21">
        <f t="shared" si="19"/>
        <v>1209</v>
      </c>
      <c r="K325" s="53">
        <f t="shared" si="21"/>
        <v>1272</v>
      </c>
      <c r="L325" s="22">
        <f t="shared" si="18"/>
        <v>43</v>
      </c>
      <c r="M325" s="16">
        <v>20</v>
      </c>
      <c r="N325" s="15">
        <v>0</v>
      </c>
      <c r="O325" s="15">
        <v>0</v>
      </c>
      <c r="P325" s="15">
        <v>1</v>
      </c>
      <c r="Q325" s="15"/>
      <c r="R325" s="16">
        <v>0</v>
      </c>
      <c r="S325" s="15">
        <v>0</v>
      </c>
      <c r="T325" s="16">
        <f>+N325+O325+P325+R325+S325</f>
        <v>1</v>
      </c>
      <c r="U325" s="38" t="s">
        <v>190</v>
      </c>
    </row>
    <row r="326" spans="1:21" x14ac:dyDescent="0.25">
      <c r="A326" s="7" t="s">
        <v>693</v>
      </c>
      <c r="B326" s="7" t="s">
        <v>87</v>
      </c>
      <c r="C326" s="7" t="s">
        <v>700</v>
      </c>
      <c r="D326" s="7" t="s">
        <v>429</v>
      </c>
      <c r="E326" s="8" t="s">
        <v>701</v>
      </c>
      <c r="F326" s="7" t="s">
        <v>702</v>
      </c>
      <c r="G326" s="7" t="s">
        <v>57</v>
      </c>
      <c r="H326" s="44">
        <v>4500</v>
      </c>
      <c r="I326" s="56">
        <f t="shared" si="20"/>
        <v>33.75</v>
      </c>
      <c r="J326" s="11">
        <f t="shared" si="19"/>
        <v>4533.75</v>
      </c>
      <c r="K326" s="53">
        <f t="shared" si="21"/>
        <v>4770</v>
      </c>
      <c r="L326" s="13">
        <f t="shared" si="18"/>
        <v>136.25</v>
      </c>
      <c r="M326" s="14">
        <v>100</v>
      </c>
      <c r="N326" s="15">
        <v>0</v>
      </c>
      <c r="O326" s="15">
        <v>0</v>
      </c>
      <c r="P326" s="15">
        <v>0</v>
      </c>
      <c r="Q326" s="15"/>
      <c r="R326" s="16">
        <v>0</v>
      </c>
      <c r="S326" s="15">
        <v>15</v>
      </c>
      <c r="T326" s="16">
        <f>+N326+O326+P326+R326+S326</f>
        <v>15</v>
      </c>
      <c r="U326" s="38" t="s">
        <v>190</v>
      </c>
    </row>
    <row r="327" spans="1:21" x14ac:dyDescent="0.25">
      <c r="A327" s="7" t="s">
        <v>693</v>
      </c>
      <c r="B327" s="7" t="s">
        <v>87</v>
      </c>
      <c r="C327" s="7" t="s">
        <v>92</v>
      </c>
      <c r="D327" s="7" t="s">
        <v>703</v>
      </c>
      <c r="E327" s="8" t="s">
        <v>704</v>
      </c>
      <c r="F327" s="7" t="s">
        <v>705</v>
      </c>
      <c r="G327" s="7" t="s">
        <v>57</v>
      </c>
      <c r="H327" s="44">
        <v>5400</v>
      </c>
      <c r="I327" s="56">
        <f t="shared" si="20"/>
        <v>40.5</v>
      </c>
      <c r="J327" s="11">
        <f t="shared" si="19"/>
        <v>5440.5</v>
      </c>
      <c r="K327" s="53">
        <f t="shared" si="21"/>
        <v>5724</v>
      </c>
      <c r="L327" s="13">
        <f t="shared" si="18"/>
        <v>183.5</v>
      </c>
      <c r="M327" s="14">
        <v>100</v>
      </c>
      <c r="N327" s="15">
        <v>0</v>
      </c>
      <c r="O327" s="15">
        <v>0</v>
      </c>
      <c r="P327" s="15">
        <v>0</v>
      </c>
      <c r="Q327" s="15"/>
      <c r="R327" s="16">
        <v>0</v>
      </c>
      <c r="S327" s="15">
        <v>20</v>
      </c>
      <c r="T327" s="16">
        <f>+N327+O327+P327+R327+S327</f>
        <v>20</v>
      </c>
      <c r="U327" s="38" t="s">
        <v>190</v>
      </c>
    </row>
    <row r="328" spans="1:21" x14ac:dyDescent="0.25">
      <c r="A328" s="7" t="s">
        <v>693</v>
      </c>
      <c r="B328" s="7" t="s">
        <v>87</v>
      </c>
      <c r="C328" s="7" t="s">
        <v>92</v>
      </c>
      <c r="D328" s="7" t="s">
        <v>706</v>
      </c>
      <c r="E328" s="8" t="s">
        <v>97</v>
      </c>
      <c r="F328" s="7" t="s">
        <v>707</v>
      </c>
      <c r="G328" s="7" t="s">
        <v>57</v>
      </c>
      <c r="H328" s="44">
        <v>5200</v>
      </c>
      <c r="I328" s="56">
        <f t="shared" si="20"/>
        <v>39</v>
      </c>
      <c r="J328" s="11">
        <f t="shared" si="19"/>
        <v>5239</v>
      </c>
      <c r="K328" s="53">
        <f t="shared" si="21"/>
        <v>5512</v>
      </c>
      <c r="L328" s="13">
        <f t="shared" si="18"/>
        <v>173</v>
      </c>
      <c r="M328" s="14">
        <v>100</v>
      </c>
      <c r="N328" s="15">
        <v>0</v>
      </c>
      <c r="O328" s="15">
        <v>0</v>
      </c>
      <c r="P328" s="15">
        <v>0</v>
      </c>
      <c r="Q328" s="15"/>
      <c r="R328" s="16">
        <v>0</v>
      </c>
      <c r="S328" s="15">
        <v>6</v>
      </c>
      <c r="T328" s="16">
        <f>+N328+O328+P328+R328+S328</f>
        <v>6</v>
      </c>
      <c r="U328" s="38" t="s">
        <v>190</v>
      </c>
    </row>
    <row r="329" spans="1:21" x14ac:dyDescent="0.25">
      <c r="A329" s="7" t="s">
        <v>693</v>
      </c>
      <c r="B329" s="7" t="s">
        <v>87</v>
      </c>
      <c r="C329" s="7" t="s">
        <v>92</v>
      </c>
      <c r="D329" s="7" t="s">
        <v>708</v>
      </c>
      <c r="E329" s="8" t="s">
        <v>709</v>
      </c>
      <c r="F329" s="7" t="s">
        <v>710</v>
      </c>
      <c r="G329" s="7" t="s">
        <v>57</v>
      </c>
      <c r="H329" s="9">
        <v>7500</v>
      </c>
      <c r="I329" s="56">
        <f t="shared" si="20"/>
        <v>56.25</v>
      </c>
      <c r="J329" s="11">
        <f t="shared" si="19"/>
        <v>7556.25</v>
      </c>
      <c r="K329" s="53">
        <f t="shared" si="21"/>
        <v>7950</v>
      </c>
      <c r="L329" s="13">
        <f t="shared" si="18"/>
        <v>293.75</v>
      </c>
      <c r="M329" s="14">
        <v>100</v>
      </c>
      <c r="N329" s="15">
        <v>0</v>
      </c>
      <c r="O329" s="15">
        <v>1</v>
      </c>
      <c r="P329" s="15">
        <v>1</v>
      </c>
      <c r="Q329" s="15"/>
      <c r="R329" s="16">
        <v>0</v>
      </c>
      <c r="S329" s="15">
        <v>1</v>
      </c>
      <c r="T329" s="16">
        <f>+N329+O329+P329+R329+S329</f>
        <v>3</v>
      </c>
      <c r="U329" s="38" t="s">
        <v>190</v>
      </c>
    </row>
    <row r="330" spans="1:21" x14ac:dyDescent="0.25">
      <c r="A330" s="7" t="s">
        <v>693</v>
      </c>
      <c r="B330" s="7" t="s">
        <v>374</v>
      </c>
      <c r="C330" s="7" t="s">
        <v>88</v>
      </c>
      <c r="D330" s="7" t="s">
        <v>711</v>
      </c>
      <c r="E330" s="8" t="s">
        <v>94</v>
      </c>
      <c r="F330" s="7" t="s">
        <v>712</v>
      </c>
      <c r="G330" s="7" t="s">
        <v>57</v>
      </c>
      <c r="H330" s="9">
        <v>1200</v>
      </c>
      <c r="I330" s="56">
        <f t="shared" si="20"/>
        <v>9</v>
      </c>
      <c r="J330" s="11">
        <f t="shared" si="19"/>
        <v>1209</v>
      </c>
      <c r="K330" s="53">
        <f t="shared" si="21"/>
        <v>1272</v>
      </c>
      <c r="L330" s="13">
        <f t="shared" si="18"/>
        <v>33</v>
      </c>
      <c r="M330" s="14">
        <v>30</v>
      </c>
      <c r="N330" s="15">
        <v>0</v>
      </c>
      <c r="O330" s="15">
        <v>2</v>
      </c>
      <c r="P330" s="15">
        <v>0</v>
      </c>
      <c r="Q330" s="15"/>
      <c r="R330" s="16">
        <v>0</v>
      </c>
      <c r="S330" s="15">
        <v>18</v>
      </c>
      <c r="T330" s="16">
        <f>+N330+O330+P330+R330+S330</f>
        <v>20</v>
      </c>
      <c r="U330" s="38" t="s">
        <v>190</v>
      </c>
    </row>
    <row r="331" spans="1:21" x14ac:dyDescent="0.25">
      <c r="A331" s="7" t="s">
        <v>693</v>
      </c>
      <c r="B331" s="7" t="s">
        <v>63</v>
      </c>
      <c r="C331" s="7" t="s">
        <v>64</v>
      </c>
      <c r="D331" s="7" t="s">
        <v>713</v>
      </c>
      <c r="E331" s="8" t="s">
        <v>714</v>
      </c>
      <c r="F331" s="7" t="s">
        <v>715</v>
      </c>
      <c r="G331" s="7" t="s">
        <v>39</v>
      </c>
      <c r="H331" s="9">
        <v>1400</v>
      </c>
      <c r="I331" s="56">
        <f t="shared" si="20"/>
        <v>10.5</v>
      </c>
      <c r="J331" s="11">
        <f t="shared" si="19"/>
        <v>1410.5</v>
      </c>
      <c r="K331" s="53">
        <f t="shared" si="21"/>
        <v>1484</v>
      </c>
      <c r="L331" s="13">
        <f t="shared" si="18"/>
        <v>43.5</v>
      </c>
      <c r="M331" s="14">
        <v>30</v>
      </c>
      <c r="N331" s="15">
        <v>0</v>
      </c>
      <c r="O331" s="15">
        <v>0</v>
      </c>
      <c r="P331" s="15">
        <v>0</v>
      </c>
      <c r="Q331" s="15"/>
      <c r="R331" s="16">
        <v>0</v>
      </c>
      <c r="S331" s="15">
        <v>20</v>
      </c>
      <c r="T331" s="16">
        <f>+N331+O331+P331+R331+S331</f>
        <v>20</v>
      </c>
      <c r="U331" s="38" t="s">
        <v>190</v>
      </c>
    </row>
    <row r="332" spans="1:21" x14ac:dyDescent="0.25">
      <c r="A332" s="18" t="s">
        <v>693</v>
      </c>
      <c r="B332" s="18" t="s">
        <v>78</v>
      </c>
      <c r="C332" s="18" t="s">
        <v>83</v>
      </c>
      <c r="D332" s="18" t="s">
        <v>475</v>
      </c>
      <c r="E332" s="19" t="s">
        <v>85</v>
      </c>
      <c r="F332" s="18" t="s">
        <v>716</v>
      </c>
      <c r="G332" s="18" t="s">
        <v>39</v>
      </c>
      <c r="H332" s="44">
        <v>4200</v>
      </c>
      <c r="I332" s="56">
        <f t="shared" si="20"/>
        <v>31.5</v>
      </c>
      <c r="J332" s="21">
        <f t="shared" si="19"/>
        <v>4231.5</v>
      </c>
      <c r="K332" s="53">
        <f t="shared" si="21"/>
        <v>4452</v>
      </c>
      <c r="L332" s="22">
        <f t="shared" si="18"/>
        <v>170.5</v>
      </c>
      <c r="M332" s="16">
        <v>50</v>
      </c>
      <c r="N332" s="15">
        <v>0</v>
      </c>
      <c r="O332" s="15">
        <v>1</v>
      </c>
      <c r="P332" s="15">
        <v>0</v>
      </c>
      <c r="Q332" s="15"/>
      <c r="R332" s="16">
        <v>0</v>
      </c>
      <c r="S332" s="15">
        <v>28</v>
      </c>
      <c r="T332" s="16">
        <f>+N332+O332+P332+R332+S332</f>
        <v>29</v>
      </c>
      <c r="U332" s="38" t="s">
        <v>190</v>
      </c>
    </row>
    <row r="333" spans="1:21" x14ac:dyDescent="0.25">
      <c r="A333" s="18" t="s">
        <v>693</v>
      </c>
      <c r="B333" s="18" t="s">
        <v>521</v>
      </c>
      <c r="C333" s="18" t="s">
        <v>717</v>
      </c>
      <c r="D333" s="18" t="s">
        <v>718</v>
      </c>
      <c r="E333" s="19" t="s">
        <v>719</v>
      </c>
      <c r="F333" s="18" t="s">
        <v>720</v>
      </c>
      <c r="G333" s="18" t="s">
        <v>39</v>
      </c>
      <c r="H333" s="44">
        <v>9400</v>
      </c>
      <c r="I333" s="56">
        <f t="shared" si="20"/>
        <v>70.5</v>
      </c>
      <c r="J333" s="21">
        <f t="shared" si="19"/>
        <v>9470.5</v>
      </c>
      <c r="K333" s="53">
        <f t="shared" si="21"/>
        <v>9964</v>
      </c>
      <c r="L333" s="22">
        <f t="shared" si="18"/>
        <v>443.5</v>
      </c>
      <c r="M333" s="16">
        <v>50</v>
      </c>
      <c r="N333" s="15">
        <v>0</v>
      </c>
      <c r="O333" s="15">
        <v>0</v>
      </c>
      <c r="P333" s="15">
        <v>0</v>
      </c>
      <c r="Q333" s="15"/>
      <c r="R333" s="16">
        <v>0</v>
      </c>
      <c r="S333" s="15">
        <v>1</v>
      </c>
      <c r="T333" s="16">
        <f>+N333+O333+P333+R333+S333</f>
        <v>1</v>
      </c>
      <c r="U333" s="38" t="s">
        <v>190</v>
      </c>
    </row>
    <row r="334" spans="1:21" ht="15.75" thickBot="1" x14ac:dyDescent="0.3">
      <c r="A334" s="18" t="s">
        <v>693</v>
      </c>
      <c r="B334" s="18" t="s">
        <v>721</v>
      </c>
      <c r="C334" s="18" t="s">
        <v>88</v>
      </c>
      <c r="D334" s="18" t="s">
        <v>722</v>
      </c>
      <c r="E334" s="19" t="s">
        <v>723</v>
      </c>
      <c r="F334" s="18" t="s">
        <v>724</v>
      </c>
      <c r="G334" s="18" t="s">
        <v>24</v>
      </c>
      <c r="H334" s="44">
        <v>2500</v>
      </c>
      <c r="I334" s="56">
        <f t="shared" si="20"/>
        <v>18.75</v>
      </c>
      <c r="J334" s="21">
        <f t="shared" si="19"/>
        <v>2518.75</v>
      </c>
      <c r="K334" s="53">
        <f t="shared" si="21"/>
        <v>2650</v>
      </c>
      <c r="L334" s="22">
        <f t="shared" si="18"/>
        <v>101.25</v>
      </c>
      <c r="M334" s="16">
        <v>30</v>
      </c>
      <c r="N334" s="15">
        <v>0</v>
      </c>
      <c r="O334" s="15">
        <v>1</v>
      </c>
      <c r="P334" s="15">
        <v>1</v>
      </c>
      <c r="Q334" s="15"/>
      <c r="R334" s="16">
        <v>0</v>
      </c>
      <c r="S334" s="15">
        <v>2</v>
      </c>
      <c r="T334" s="16">
        <f>+N334+O334+P334+R334+S334</f>
        <v>4</v>
      </c>
      <c r="U334" s="38" t="s">
        <v>190</v>
      </c>
    </row>
    <row r="335" spans="1:21" x14ac:dyDescent="0.25">
      <c r="G335" s="45"/>
      <c r="H335" s="46"/>
      <c r="I335" s="47"/>
      <c r="J335" s="48"/>
      <c r="K335" s="54"/>
      <c r="L335" s="47"/>
      <c r="M335" s="47"/>
      <c r="N335" s="47"/>
      <c r="O335" s="47"/>
      <c r="P335" s="49"/>
      <c r="Q335" s="49"/>
      <c r="R335" s="49"/>
      <c r="S335" s="49"/>
      <c r="T335" s="50" t="s">
        <v>725</v>
      </c>
      <c r="U335" s="51" t="s">
        <v>725</v>
      </c>
    </row>
  </sheetData>
  <autoFilter ref="A1:U1" xr:uid="{72EA7376-D0A0-4AE8-A7EF-9735E01D8853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1MAYO26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 STORE</dc:creator>
  <cp:lastModifiedBy>GEEK STORE</cp:lastModifiedBy>
  <dcterms:created xsi:type="dcterms:W3CDTF">2026-05-19T22:00:42Z</dcterms:created>
  <dcterms:modified xsi:type="dcterms:W3CDTF">2026-05-19T22:52:47Z</dcterms:modified>
</cp:coreProperties>
</file>